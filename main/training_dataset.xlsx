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bon Emissions" sheetId="1" r:id="rId5"/>
    <sheet state="visible" name="Water Consumption" sheetId="2" r:id="rId6"/>
    <sheet state="visible" name="Energy Mixes" sheetId="3" r:id="rId7"/>
  </sheets>
  <definedNames/>
  <calcPr/>
</workbook>
</file>

<file path=xl/sharedStrings.xml><?xml version="1.0" encoding="utf-8"?>
<sst xmlns="http://schemas.openxmlformats.org/spreadsheetml/2006/main" count="586" uniqueCount="274">
  <si>
    <t>LLM model</t>
  </si>
  <si>
    <t>CO2 (tCO2eq)</t>
  </si>
  <si>
    <t>Parameters (billions)</t>
  </si>
  <si>
    <t>Source for GPU data, GPU hours</t>
  </si>
  <si>
    <t>Year released</t>
  </si>
  <si>
    <t>Country of the organization(s) that trained the model</t>
  </si>
  <si>
    <t>PUE</t>
  </si>
  <si>
    <t>Source for PUE value</t>
  </si>
  <si>
    <t>Total CO2</t>
  </si>
  <si>
    <t>GPU Used</t>
  </si>
  <si>
    <t>GPU hours</t>
  </si>
  <si>
    <t>Hugging Face Model Name</t>
  </si>
  <si>
    <t>Llama 2</t>
  </si>
  <si>
    <t>https://github.com/meta-llama/llama/blob/main/MODEL_CARD.md</t>
  </si>
  <si>
    <t>USA</t>
  </si>
  <si>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</si>
  <si>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t xml:space="preserve">A100 </t>
  </si>
  <si>
    <t>meta-llama/Llama-2-7b-hf</t>
  </si>
  <si>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</si>
  <si>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t>meta-llama/Llama-2-13b-hf</t>
  </si>
  <si>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</si>
  <si>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t>meta-llama/Llama-2-70b-hf</t>
  </si>
  <si>
    <t>Llama 3</t>
  </si>
  <si>
    <t>https://github.com/meta-llama/llama-models/blob/main/models/llama3/MODEL_CARD.md</t>
  </si>
  <si>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</si>
  <si>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t>H100</t>
  </si>
  <si>
    <t>meta-llama/Meta-Llama-3-8B</t>
  </si>
  <si>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</si>
  <si>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t>meta-llama/Meta-Llama-3-70B</t>
  </si>
  <si>
    <t>Llama 3.1</t>
  </si>
  <si>
    <t>https://github.com/meta-llama/llama-models/blob/main/models/llama3_1/MODEL_CARD.md</t>
  </si>
  <si>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</si>
  <si>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t>meta-llama/Llama-3.1-8B</t>
  </si>
  <si>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</si>
  <si>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t>meta-llama/Llama-3.1-70B</t>
  </si>
  <si>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</si>
  <si>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t>meta-llama/Llama-3.1-405B</t>
  </si>
  <si>
    <t>Llama 3.2</t>
  </si>
  <si>
    <t>https://github.com/meta-llama/llama-models/blob/main/models/llama3_2/MODEL_CARD.md</t>
  </si>
  <si>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</si>
  <si>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t>meta-llama/Llama-3.2-1B</t>
  </si>
  <si>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</si>
  <si>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t>meta-llama/Llama-3.2-3B</t>
  </si>
  <si>
    <t>Llama 3.2 QLoRA</t>
  </si>
  <si>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</si>
  <si>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t>N/A</t>
  </si>
  <si>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</si>
  <si>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t>Llama 3.3</t>
  </si>
  <si>
    <t>https://github.com/meta-llama/llama-models/blob/main/models/llama3_3/MODEL_CARD.md</t>
  </si>
  <si>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</si>
  <si>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t>meta-llama/Llama-3.3-70B-Instruct</t>
  </si>
  <si>
    <t>Llama 4 Scout</t>
  </si>
  <si>
    <t>https://github.com/meta-llama/llama-models/blob/main/models/llama4/MODEL_CARD.md</t>
  </si>
  <si>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</si>
  <si>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t>meta-llama/Llama-4-Scout-17B-16E-Instruct</t>
  </si>
  <si>
    <t>Llama 4 Maverick</t>
  </si>
  <si>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</si>
  <si>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t>meta-llama/Llama-4-Maverick-17B-128E-Instruct</t>
  </si>
  <si>
    <t>StarcoderBase</t>
  </si>
  <si>
    <t>Starcoder paper</t>
  </si>
  <si>
    <t>Global</t>
  </si>
  <si>
    <t>StarcoderBase paper, p.17; authors assume PUE of 1.2</t>
  </si>
  <si>
    <t>bigcode/starcoderbase</t>
  </si>
  <si>
    <t>Starcoder 2</t>
  </si>
  <si>
    <t>Starcoder 2 paper</t>
  </si>
  <si>
    <r>
      <rPr/>
      <t xml:space="preserve">Servers used were most likely AWS due to the partnership, also AWS average PUE value was 1.15 in 2024, see: </t>
    </r>
    <r>
      <rPr>
        <color rgb="FF1155CC"/>
        <u/>
      </rPr>
      <t>https://aws.amazon.com/sustainability/data-centers/</t>
    </r>
    <r>
      <rPr/>
      <t xml:space="preserve"> and </t>
    </r>
    <r>
      <rPr>
        <color rgb="FF1155CC"/>
        <u/>
      </rPr>
      <t>https://newsroom.servicenow.com/press-releases/details/2023/ServiceNow-announces-a-Strategic-Collaboration-Agreement-with-AWS-11-29-2023-traffic/default.aspx</t>
    </r>
    <r>
      <rPr/>
      <t xml:space="preserve"> </t>
    </r>
  </si>
  <si>
    <t>bigcode/starcoder2-3b</t>
  </si>
  <si>
    <r>
      <rPr/>
      <t xml:space="preserve">Model was most likely trained on AWS servers given that it was trained by Hugging Face and they have collaborated with AWS since 2023: </t>
    </r>
    <r>
      <rPr>
        <color rgb="FF1155CC"/>
        <u/>
      </rPr>
      <t>https://huggingface.co/docs/sagemaker/en/index</t>
    </r>
    <r>
      <rPr/>
      <t xml:space="preserve"> and </t>
    </r>
    <r>
      <rPr>
        <color rgb="FF1155CC"/>
        <u/>
      </rPr>
      <t>https://aws.amazon.com/sustainability/data-centers/</t>
    </r>
    <r>
      <rPr/>
      <t xml:space="preserve"> </t>
    </r>
  </si>
  <si>
    <t>bigcode/starcoder2-7b</t>
  </si>
  <si>
    <t>BLOOM</t>
  </si>
  <si>
    <t>Estimating the carbon footprint of Bloom, a 176B parameter model</t>
  </si>
  <si>
    <t>France</t>
  </si>
  <si>
    <r>
      <rPr/>
      <t xml:space="preserve">French average datacenter PUE, see: </t>
    </r>
    <r>
      <rPr>
        <color rgb="FF1155CC"/>
        <u/>
      </rPr>
      <t>https://op.europa.eu/en/publication-detail/-/publication/83be4c3e-5c79-11f0-a9d0-01aa75ed71a1/language-en</t>
    </r>
    <r>
      <rPr/>
      <t xml:space="preserve"> , p.34</t>
    </r>
  </si>
  <si>
    <t>bigscience/bloom</t>
  </si>
  <si>
    <t>BERT base</t>
  </si>
  <si>
    <t>Strubell et al. (2019)</t>
  </si>
  <si>
    <r>
      <rPr/>
      <t xml:space="preserve">Data unavailable, thus an industry average is used for 2018: </t>
    </r>
    <r>
      <rPr>
        <color rgb="FF1155CC"/>
        <u/>
      </rPr>
      <t>https://uptimeinstitute.com/about-ui/press-releases/uptime-institute-10th-annual-global-data-center-survey</t>
    </r>
    <r>
      <rPr/>
      <t xml:space="preserve"> </t>
    </r>
  </si>
  <si>
    <t>V100</t>
  </si>
  <si>
    <t>google-bert/bert-base-uncased</t>
  </si>
  <si>
    <t>LLM 360/K2</t>
  </si>
  <si>
    <t>LLM360 K2:
Building a 65B 360-Open-Source Large
Language Model from Scratch</t>
  </si>
  <si>
    <t>UAE &amp; USA</t>
  </si>
  <si>
    <r>
      <rPr/>
      <t xml:space="preserve">Data unavailable for NVIDIA servers; thus an industry average is used: </t>
    </r>
    <r>
      <rPr>
        <color rgb="FF1155CC"/>
        <u/>
      </rPr>
      <t>https://www.cfp.energy/en/insights/data-centre-power-consumption</t>
    </r>
    <r>
      <rPr/>
      <t xml:space="preserve"> </t>
    </r>
  </si>
  <si>
    <t>A100</t>
  </si>
  <si>
    <t>LLM360/K2</t>
  </si>
  <si>
    <t>DistilGPT2</t>
  </si>
  <si>
    <t>https://huggingface.co/distilbert/distilgpt2</t>
  </si>
  <si>
    <r>
      <rPr/>
      <t xml:space="preserve">Microsoft published a blog post in 2022 discussing the PUE and WUE of their servers as of 2021, which is likely more relevant than recent data since DistilGPT2 was trained in 2019: </t>
    </r>
    <r>
      <rPr>
        <color rgb="FF1155CC"/>
        <u/>
      </rPr>
      <t>https://azure.microsoft.com/en-us/blog/how-microsoft-measures-datacenter-water-and-energy-use-to-improve-azure-cloud-sustainability/</t>
    </r>
    <r>
      <rPr/>
      <t xml:space="preserve"> </t>
    </r>
  </si>
  <si>
    <t>distilbert/distilgpt2</t>
  </si>
  <si>
    <t>DeepScaleR</t>
  </si>
  <si>
    <r>
      <rPr/>
      <t xml:space="preserve">Carbon grid intensity sourced from the IEA, world average used since training location is unknown, GPU data sourced from the notion page on the model: </t>
    </r>
    <r>
      <rPr>
        <color rgb="FF1155CC"/>
        <u/>
      </rPr>
      <t>https://pretty-radio-b75.notion.site/DeepScaleR-Surpassing-O1-Preview-with-a-1-5B-Model-by-Scaling-RL-19681902c1468005bed8ca303013a4e2</t>
    </r>
    <r>
      <rPr/>
      <t xml:space="preserve">   </t>
    </r>
    <r>
      <rPr>
        <color rgb="FF1155CC"/>
        <u/>
      </rPr>
      <t>https://www.iea.org/reports/electricity-2025/emissions</t>
    </r>
    <r>
      <rPr/>
      <t xml:space="preserve"> </t>
    </r>
  </si>
  <si>
    <r>
      <rPr/>
      <t xml:space="preserve">Data unavailable for specific servers used; industry average used instead: </t>
    </r>
    <r>
      <rPr>
        <color rgb="FF1155CC"/>
        <u/>
      </rPr>
      <t>https://www.cfp.energy/en/insights/data-centre-power-consumption</t>
    </r>
    <r>
      <rPr/>
      <t xml:space="preserve"> </t>
    </r>
  </si>
  <si>
    <t>agentica-org/DeepScaleR-1.5B-Preview</t>
  </si>
  <si>
    <t>GPT-3</t>
  </si>
  <si>
    <t>Patterson et al. 2021</t>
  </si>
  <si>
    <r>
      <rPr/>
      <t xml:space="preserve">Microsoft published a blog post in 2022 discussing the PUE and WUE of their servers as of 2021, which is likely more relevant than recent data since GPT-3 was trained in 2020, here the global average PUE is used due to the location of GPT-3 training being unknown: </t>
    </r>
    <r>
      <rPr>
        <color rgb="FF1155CC"/>
        <u/>
      </rPr>
      <t>https://azure.microsoft.com/en-us/blog/how-microsoft-measures-datacenter-water-and-energy-use-to-improve-azure-cloud-sustainability/</t>
    </r>
    <r>
      <rPr/>
      <t xml:space="preserve">   </t>
    </r>
  </si>
  <si>
    <t>GPT-4</t>
  </si>
  <si>
    <r>
      <rPr>
        <color rgb="FF1155CC"/>
        <u/>
      </rPr>
      <t>https://towardsdatascience.com/the-carbon-footprint-of-gpt-4-d6c676eb21ae/</t>
    </r>
    <r>
      <rPr>
        <color rgb="FF1F1F1F"/>
      </rPr>
      <t xml:space="preserve">  , an average of the upper and lower bound CO2 emissions estimates provided here of 12,456 and 14,994 is used (13725), assuming training on California Azure servers</t>
    </r>
  </si>
  <si>
    <r>
      <rPr/>
      <t xml:space="preserve">GPT-4 was trained on Microsoft's Azure cloud infrastructure; Microsoft published global average PUE and WUE data during 2023 and 2024: </t>
    </r>
    <r>
      <rPr>
        <color rgb="FF1155CC"/>
        <u/>
      </rPr>
      <t>https://datacenters.microsoft.com/sustainability/efficiency/</t>
    </r>
    <r>
      <rPr/>
      <t xml:space="preserve"> </t>
    </r>
  </si>
  <si>
    <t>DeepSeek R1-Zero</t>
  </si>
  <si>
    <r>
      <rPr/>
      <t xml:space="preserve">GPU data used to calculate GPU hours sourced from here, chinese carbon grid intensity used: </t>
    </r>
    <r>
      <rPr>
        <color rgb="FF1155CC"/>
        <u/>
      </rPr>
      <t>https://crfm.stanford.edu/fmti/December-2025/company-reports/DeepSeek_FinalReport_FMTI2025.html</t>
    </r>
    <r>
      <rPr/>
      <t xml:space="preserve">    </t>
    </r>
    <r>
      <rPr>
        <color rgb="FF1155CC"/>
        <u/>
      </rPr>
      <t>https://www.iea.org/reports/electricity-2025/emissions</t>
    </r>
    <r>
      <rPr/>
      <t xml:space="preserve"> </t>
    </r>
  </si>
  <si>
    <t>China</t>
  </si>
  <si>
    <t xml:space="preserve">Data unavailable for DeepSeek's servers/cloud infrastructure; thus an industry average is used: https://www.cfp.energy/en/insights/data-centre-power-consumption </t>
  </si>
  <si>
    <t>H800</t>
  </si>
  <si>
    <t>deepseek-ai/DeepSeek-R1-Zero</t>
  </si>
  <si>
    <t>DeepSeek R1</t>
  </si>
  <si>
    <r>
      <rPr>
        <color rgb="FF1155CC"/>
        <u/>
      </rPr>
      <t>https://edition.cnn.com/2025/09/19/business/deepseek-ai-training-cost-china-intl</t>
    </r>
    <r>
      <rPr>
        <color rgb="FF000000"/>
      </rPr>
      <t xml:space="preserve">   ,   </t>
    </r>
    <r>
      <rPr>
        <color rgb="FF1155CC"/>
        <u/>
      </rPr>
      <t>https://reglobal.org/china-and-us-electricity-review-ember/</t>
    </r>
    <r>
      <rPr>
        <color rgb="FF000000"/>
      </rPr>
      <t xml:space="preserve">  , </t>
    </r>
    <r>
      <rPr>
        <color rgb="FF1155CC"/>
        <u/>
      </rPr>
      <t>https://rmi.org/wp-content/uploads/dlm_uploads/2024/11/Powering_the_Data_Center_Boom_with_Low_Carbon_Solutions_report.pdf</t>
    </r>
    <r>
      <rPr>
        <color rgb="FF000000"/>
      </rPr>
      <t xml:space="preserve"> </t>
    </r>
  </si>
  <si>
    <t>deepseek-ai/DeepSeek-R1</t>
  </si>
  <si>
    <t>DeepSeek V3</t>
  </si>
  <si>
    <r>
      <rPr/>
      <t xml:space="preserve">DeepSeek V3 paper (https://arxiv.org/abs/2412.19437), chinese carbon grid intensity as of 2024: </t>
    </r>
    <r>
      <rPr>
        <color rgb="FF1155CC"/>
        <u/>
      </rPr>
      <t>https://www.iea.org/reports/electricity-2025/emissions</t>
    </r>
    <r>
      <rPr/>
      <t xml:space="preserve"> </t>
    </r>
  </si>
  <si>
    <t>deepseek-ai/DeepSeek-V3</t>
  </si>
  <si>
    <t>Phi 4</t>
  </si>
  <si>
    <t xml:space="preserve">https://huggingface.co/microsoft/phi-4 </t>
  </si>
  <si>
    <r>
      <rPr/>
      <t xml:space="preserve">Phi 4 was trained on Microsoft's Azure cloud infrastructure; Microsoft published global average PUE and WUE data during 2023 and 2024: </t>
    </r>
    <r>
      <rPr>
        <color rgb="FF1155CC"/>
        <u/>
      </rPr>
      <t>https://datacenters.microsoft.com/sustainability/efficiency/</t>
    </r>
    <r>
      <rPr/>
      <t xml:space="preserve"> </t>
    </r>
  </si>
  <si>
    <t>microsoft/phi-4</t>
  </si>
  <si>
    <t>Phi-3-Mini-128K-Instruct</t>
  </si>
  <si>
    <t>https://huggingface.co/microsoft/Phi-3-mini-128k-instruct</t>
  </si>
  <si>
    <r>
      <rPr/>
      <t xml:space="preserve">Phi 3 was trained on Microsoft's Azure cloud infrastructure; Microsoft published global average PUE and WUE data during 2023 and 2024: </t>
    </r>
    <r>
      <rPr>
        <color rgb="FF1155CC"/>
        <u/>
      </rPr>
      <t>https://datacenters.microsoft.com/sustainability/efficiency/</t>
    </r>
    <r>
      <rPr/>
      <t xml:space="preserve"> </t>
    </r>
  </si>
  <si>
    <t>microsoft/Phi-3-mini-128k-instruct</t>
  </si>
  <si>
    <t>Phi 2</t>
  </si>
  <si>
    <t>https://huggingface.co/microsoft/phi-2</t>
  </si>
  <si>
    <r>
      <rPr/>
      <t xml:space="preserve">Phi 2 was trained on Microsoft's Azure cloud infrastructure; Microsoft published global average PUE and WUE data during 2023 and 2024: </t>
    </r>
    <r>
      <rPr>
        <color rgb="FF1155CC"/>
        <u/>
      </rPr>
      <t>https://datacenters.microsoft.com/sustainability/efficiency/</t>
    </r>
    <r>
      <rPr/>
      <t xml:space="preserve"> </t>
    </r>
  </si>
  <si>
    <t>microsoft/phi-2</t>
  </si>
  <si>
    <t>gpt-oss</t>
  </si>
  <si>
    <t>https://developer.nvidia.com/blog/delivering-1-5-m-tps-inference-on-nvidia-gb200-nvl72-nvidia-accelerates-openai-gpt-oss-models-from-cloud-to-edge/</t>
  </si>
  <si>
    <r>
      <rPr/>
      <t xml:space="preserve">Data unavailable for NVIDIA servers; thus an industry average is used: </t>
    </r>
    <r>
      <rPr>
        <color rgb="FF1155CC"/>
        <u/>
      </rPr>
      <t>https://www.cfp.energy/en/insights/data-centre-power-consumption</t>
    </r>
    <r>
      <rPr/>
      <t xml:space="preserve"> </t>
    </r>
  </si>
  <si>
    <t>openai/gpt-oss-20b</t>
  </si>
  <si>
    <r>
      <rPr/>
      <t xml:space="preserve">Data unavailable for NVIDIA servers; thus an industry average is used: </t>
    </r>
    <r>
      <rPr>
        <color rgb="FF1155CC"/>
        <u/>
      </rPr>
      <t>https://www.cfp.energy/en/insights/data-centre-power-consumption</t>
    </r>
    <r>
      <rPr/>
      <t xml:space="preserve"> </t>
    </r>
  </si>
  <si>
    <t>openai/gpt-oss-120b</t>
  </si>
  <si>
    <t>Meena</t>
  </si>
  <si>
    <t>Patterson et al. (2021), p.6</t>
  </si>
  <si>
    <t>TPUv3</t>
  </si>
  <si>
    <t>GShard-600B</t>
  </si>
  <si>
    <t>T5</t>
  </si>
  <si>
    <t>Taiwan</t>
  </si>
  <si>
    <t>google-t5/t5-base</t>
  </si>
  <si>
    <t>Switch Transformer</t>
  </si>
  <si>
    <t>google/switch-base-8</t>
  </si>
  <si>
    <t>Transformer (Base)</t>
  </si>
  <si>
    <t>Strubell et al. 2019</t>
  </si>
  <si>
    <r>
      <rPr/>
      <t xml:space="preserve">Google's average PUE for their servers in 2017, see: </t>
    </r>
    <r>
      <rPr>
        <color rgb="FF1155CC"/>
        <u/>
      </rPr>
      <t>https://datacenters.google/efficiency/</t>
    </r>
    <r>
      <rPr/>
      <t xml:space="preserve"> </t>
    </r>
  </si>
  <si>
    <t>P100</t>
  </si>
  <si>
    <t>Transformer (Big)</t>
  </si>
  <si>
    <r>
      <rPr/>
      <t xml:space="preserve">Google's average PUE for their servers in 2017, see: </t>
    </r>
    <r>
      <rPr>
        <color rgb="FF1155CC"/>
        <u/>
      </rPr>
      <t>https://datacenters.google/efficiency/</t>
    </r>
    <r>
      <rPr/>
      <t xml:space="preserve"> </t>
    </r>
  </si>
  <si>
    <t>ELMo</t>
  </si>
  <si>
    <r>
      <rPr/>
      <t xml:space="preserve">Data unavailable, thus an industry average is used for 2018: </t>
    </r>
    <r>
      <rPr>
        <color rgb="FF1155CC"/>
        <u/>
      </rPr>
      <t>https://uptimeinstitute.com/about-ui/press-releases/uptime-institute-10th-annual-global-data-center-survey</t>
    </r>
    <r>
      <rPr/>
      <t xml:space="preserve"> </t>
    </r>
  </si>
  <si>
    <t>GTX 1080</t>
  </si>
  <si>
    <t>Source</t>
  </si>
  <si>
    <t>WUE onsite (L/kWh)</t>
  </si>
  <si>
    <t>Offsite WUE (L/kWh)</t>
  </si>
  <si>
    <t>Source for WUE onsite value</t>
  </si>
  <si>
    <t>Source for WUE offsite value</t>
  </si>
  <si>
    <t>Estimated IT energy during training (kWh)</t>
  </si>
  <si>
    <t>Estimated onsite water consumption (L)</t>
  </si>
  <si>
    <t>Estimated offsite water consumption (L)</t>
  </si>
  <si>
    <t>Estimated total water consumption (L)</t>
  </si>
  <si>
    <t>Sum of total water consumption (L)</t>
  </si>
  <si>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</si>
  <si>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</si>
  <si>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t>Meta reported offsite WUE in 2023, sourced from Vries-Gao (2026)</t>
  </si>
  <si>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</si>
  <si>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</si>
  <si>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</si>
  <si>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</si>
  <si>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</si>
  <si>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</si>
  <si>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t>Meta reported offsite WUE in 2024, sourced from Vries-Gao (2026)</t>
  </si>
  <si>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</si>
  <si>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</si>
  <si>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</si>
  <si>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</si>
  <si>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</si>
  <si>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</si>
  <si>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</si>
  <si>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</si>
  <si>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</si>
  <si>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</si>
  <si>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</si>
  <si>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</si>
  <si>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</si>
  <si>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</si>
  <si>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</si>
  <si>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</si>
  <si>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</si>
  <si>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</si>
  <si>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</si>
  <si>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</si>
  <si>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</si>
  <si>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color rgb="FF000000"/>
      </rPr>
      <t xml:space="preserve">Meta's data center: </t>
    </r>
    <r>
      <rPr>
        <color rgb="FF1155CC"/>
        <u/>
      </rPr>
      <t>https://www.datacenterdynamics.com/en/news/meta-data-center-electricity-consumption-hits-14975gwh-leased-data-center-use-nearly-doubles/</t>
    </r>
    <r>
      <rPr>
        <color rgb="FF000000"/>
      </rPr>
      <t xml:space="preserve"> </t>
    </r>
  </si>
  <si>
    <r>
      <rPr/>
      <t xml:space="preserve">Trained on US west AWS servers, so the WUE can be found here: </t>
    </r>
    <r>
      <rPr>
        <color rgb="FF1155CC"/>
        <u/>
      </rPr>
      <t>https://sustainability.aboutamazon.com/products-services/aws-cloud#water-positive</t>
    </r>
    <r>
      <rPr/>
      <t xml:space="preserve"> </t>
    </r>
  </si>
  <si>
    <t>Oregon (US west) power grid average from Rieg et al. (2020), Appendix 2</t>
  </si>
  <si>
    <r>
      <rPr/>
      <t xml:space="preserve">Servers used were most likely AWS due to the partnership, also AWS average PUE value was 1.15 in 2024, see: </t>
    </r>
    <r>
      <rPr>
        <color rgb="FF1155CC"/>
        <u/>
      </rPr>
      <t>https://aws.amazon.com/sustainability/data-centers/</t>
    </r>
    <r>
      <rPr/>
      <t xml:space="preserve"> and </t>
    </r>
    <r>
      <rPr>
        <color rgb="FF1155CC"/>
        <u/>
      </rPr>
      <t>https://newsroom.servicenow.com/press-releases/details/2023/ServiceNow-announces-a-Strategic-Collaboration-Agreement-with-AWS-11-29-2023-traffic/default.aspx</t>
    </r>
    <r>
      <rPr/>
      <t xml:space="preserve"> </t>
    </r>
  </si>
  <si>
    <r>
      <rPr/>
      <t xml:space="preserve">ServiceNow might have used AWS servers to do the training, thus this is the AWS average WUE in 2024: </t>
    </r>
    <r>
      <rPr>
        <color rgb="FF1155CC"/>
        <u/>
      </rPr>
      <t>https://sustainability.aboutamazon.com/products-services/aws-cloud#water-positive</t>
    </r>
    <r>
      <rPr/>
      <t xml:space="preserve"> </t>
    </r>
  </si>
  <si>
    <t>AWS average based on trn1 data center server locations and Rieg et al. (2020) estimates, see sheet labelled Energy Mixes for calculation</t>
  </si>
  <si>
    <r>
      <rPr/>
      <t xml:space="preserve">Model was most likely trained on AWS servers given that it was trained by Hugging Face and they have collaborated with AWS since 2023: </t>
    </r>
    <r>
      <rPr>
        <color rgb="FF1155CC"/>
        <u/>
      </rPr>
      <t>https://huggingface.co/docs/sagemaker/en/index</t>
    </r>
    <r>
      <rPr/>
      <t xml:space="preserve"> and </t>
    </r>
    <r>
      <rPr>
        <color rgb="FF1155CC"/>
        <u/>
      </rPr>
      <t>https://aws.amazon.com/sustainability/data-centers/</t>
    </r>
    <r>
      <rPr/>
      <t xml:space="preserve"> </t>
    </r>
  </si>
  <si>
    <r>
      <rPr/>
      <t xml:space="preserve">HuggingFace might have used AWS infrastructure to train this model, 0.15 is the 2024 AWS average WUE: </t>
    </r>
    <r>
      <rPr>
        <color rgb="FF1155CC"/>
        <u/>
      </rPr>
      <t>https://sustainability.aboutamazon.com/products-services/aws-cloud#water-positive</t>
    </r>
    <r>
      <rPr/>
      <t xml:space="preserve"> </t>
    </r>
  </si>
  <si>
    <t>Luccioni et al. (2022)</t>
  </si>
  <si>
    <r>
      <rPr/>
      <t xml:space="preserve">French average datacenter PUE, see: </t>
    </r>
    <r>
      <rPr>
        <color rgb="FF1155CC"/>
        <u/>
      </rPr>
      <t>https://op.europa.eu/en/publication-detail/-/publication/83be4c3e-5c79-11f0-a9d0-01aa75ed71a1/language-en</t>
    </r>
    <r>
      <rPr/>
      <t xml:space="preserve"> , p.34</t>
    </r>
  </si>
  <si>
    <r>
      <rPr/>
      <t xml:space="preserve">French average WUE, see: </t>
    </r>
    <r>
      <rPr>
        <color rgb="FF1155CC"/>
        <u/>
      </rPr>
      <t>https://op.europa.eu/en/publication-detail/-/publication/83be4c3e-5c79-11f0-a9d0-01aa75ed71a1/language-en</t>
    </r>
    <r>
      <rPr/>
      <t xml:space="preserve"> , p. 39</t>
    </r>
  </si>
  <si>
    <t>French average offsite WUE from Rieg et al. (2020), Appendix 2</t>
  </si>
  <si>
    <r>
      <rPr/>
      <t xml:space="preserve">Data unavailable, thus an industry average is used for 2018: </t>
    </r>
    <r>
      <rPr>
        <color rgb="FF1155CC"/>
        <u/>
      </rPr>
      <t>https://uptimeinstitute.com/about-ui/press-releases/uptime-institute-10th-annual-global-data-center-survey</t>
    </r>
    <r>
      <rPr/>
      <t xml:space="preserve"> </t>
    </r>
  </si>
  <si>
    <r>
      <rPr/>
      <t xml:space="preserve">Data unavailable for NVIDIA servers; thus an industry average is used: </t>
    </r>
    <r>
      <rPr>
        <color rgb="FF1155CC"/>
        <u/>
      </rPr>
      <t>https://airsysnorthamerica.com/data-center-energy-efficiency-which-metrics-matter-most/</t>
    </r>
    <r>
      <rPr/>
      <t xml:space="preserve"> </t>
    </r>
  </si>
  <si>
    <t>Worldwide average from Rieg et al. (2020)</t>
  </si>
  <si>
    <r>
      <rPr/>
      <t xml:space="preserve">Data unavailable for NVIDIA servers; thus an industry average is used: </t>
    </r>
    <r>
      <rPr>
        <color rgb="FF1155CC"/>
        <u/>
      </rPr>
      <t>https://www.cfp.energy/en/insights/data-centre-power-consumption</t>
    </r>
    <r>
      <rPr/>
      <t xml:space="preserve"> </t>
    </r>
  </si>
  <si>
    <r>
      <rPr/>
      <t xml:space="preserve">Data unavailable for NVIDIA servers; thus an industry average is used: </t>
    </r>
    <r>
      <rPr>
        <color rgb="FF1155CC"/>
        <u/>
      </rPr>
      <t>https://airsysnorthamerica.com/data-center-energy-efficiency-which-metrics-matter-most/</t>
    </r>
    <r>
      <rPr/>
      <t xml:space="preserve"> </t>
    </r>
  </si>
  <si>
    <r>
      <rPr/>
      <t xml:space="preserve">Microsoft published a blog post in 2022 discussing the PUE and WUE of their servers as of 2021, which is likely more relevant than recent data since DistilGPT2 was trained in 2019: </t>
    </r>
    <r>
      <rPr>
        <color rgb="FF1155CC"/>
        <u/>
      </rPr>
      <t>https://azure.microsoft.com/en-us/blog/how-microsoft-measures-datacenter-water-and-energy-use-to-improve-azure-cloud-sustainability/</t>
    </r>
    <r>
      <rPr/>
      <t xml:space="preserve"> </t>
    </r>
  </si>
  <si>
    <r>
      <rPr/>
      <t xml:space="preserve">Microsoft published a blog post in 2022 discussing the PUE and WUE of their servers as of 2021, which is likely more relevant than recent data since DistilGPT2 was trained in 2019: </t>
    </r>
    <r>
      <rPr>
        <color rgb="FF1155CC"/>
        <u/>
      </rPr>
      <t>https://azure.microsoft.com/en-us/blog/how-microsoft-measures-datacenter-water-and-energy-use-to-improve-azure-cloud-sustainability/</t>
    </r>
    <r>
      <rPr/>
      <t xml:space="preserve"> </t>
    </r>
  </si>
  <si>
    <t>On HuggingFace, the DistilGPT2 page assumes US east (i.e. Virginia) for the location of the servers during training. This offsite WUE is the average for Virginia from Rieg et al. (2020) and is used in Li et al. (2025)</t>
  </si>
  <si>
    <r>
      <rPr>
        <color rgb="FF1155CC"/>
        <u/>
      </rPr>
      <t>https://pretty-radio-b75.notion.site/DeepScaleR-Surpassing-O1-Preview-with-a-1-5B-Model-by-Scaling-RL-19681902c1468005bed8ca303013a4e2</t>
    </r>
    <r>
      <rPr/>
      <t xml:space="preserve"> </t>
    </r>
  </si>
  <si>
    <r>
      <rPr/>
      <t xml:space="preserve">Data unavailable for specific servers used; industry average used instead: </t>
    </r>
    <r>
      <rPr>
        <color rgb="FF1155CC"/>
        <u/>
      </rPr>
      <t>https://www.cfp.energy/en/insights/data-centre-power-consumption</t>
    </r>
    <r>
      <rPr/>
      <t xml:space="preserve"> </t>
    </r>
  </si>
  <si>
    <r>
      <rPr/>
      <t xml:space="preserve">Data unavailable for servers used, industry average used instead: </t>
    </r>
    <r>
      <rPr>
        <color rgb="FF1155CC"/>
        <u/>
      </rPr>
      <t>https://airsysnorthamerica.com/data-center-energy-efficiency-which-metrics-matter-most/</t>
    </r>
    <r>
      <rPr/>
      <t xml:space="preserve"> </t>
    </r>
  </si>
  <si>
    <r>
      <rPr/>
      <t xml:space="preserve">Microsoft published a blog post in 2022 discussing the PUE and WUE of their servers as of 2021, which is likely more relevant than recent data since GPT-3 was trained in 2020, here the global average PUE is used due to the location of GPT-3 training being unknown: </t>
    </r>
    <r>
      <rPr>
        <color rgb="FF1155CC"/>
        <u/>
      </rPr>
      <t>https://azure.microsoft.com/en-us/blog/how-microsoft-measures-datacenter-water-and-energy-use-to-improve-azure-cloud-sustainability/</t>
    </r>
    <r>
      <rPr/>
      <t xml:space="preserve">   </t>
    </r>
  </si>
  <si>
    <r>
      <rPr/>
      <t xml:space="preserve">Microsoft published a blog post in 2022 discussing the PUE and WUE of their servers as of 2021, which is likely more relevant than recent data since GPT-3 was trained in 2020, here the global average PUE is used due to the location of GPT-3 training being unknown: </t>
    </r>
    <r>
      <rPr>
        <color rgb="FF1155CC"/>
        <u/>
      </rPr>
      <t>https://azure.microsoft.com/en-us/blog/how-microsoft-measures-datacenter-water-and-energy-use-to-improve-azure-cloud-sustainability/</t>
    </r>
    <r>
      <rPr/>
      <t xml:space="preserve">   </t>
    </r>
  </si>
  <si>
    <t>Microsoft server average estimate from Li et al. (2025)</t>
  </si>
  <si>
    <t>https://towardsdatascience.com/the-carbon-footprint-of-gpt-4-d6c676eb21ae/</t>
  </si>
  <si>
    <r>
      <rPr/>
      <t xml:space="preserve">GPT-4 was trained on Microsoft's Azure cloud infrastructure; Microsoft published global average PUE and WUE data during 2023 and 2024: </t>
    </r>
    <r>
      <rPr>
        <color rgb="FF1155CC"/>
        <u/>
      </rPr>
      <t>https://datacenters.microsoft.com/sustainability/efficiency/</t>
    </r>
    <r>
      <rPr/>
      <t xml:space="preserve"> </t>
    </r>
  </si>
  <si>
    <r>
      <rPr/>
      <t xml:space="preserve">GPT-4 was trained on Microsoft's Azure cloud infrastructure; Microsoft published global average PUE and WUE data during 2023 and 2024: </t>
    </r>
    <r>
      <rPr>
        <color rgb="FF1155CC"/>
        <u/>
      </rPr>
      <t>https://datacenters.microsoft.com/sustainability/efficiency/</t>
    </r>
    <r>
      <rPr/>
      <t xml:space="preserve"> </t>
    </r>
  </si>
  <si>
    <t>https://crfm.stanford.edu/fmti/December-2025/company-reports/DeepSeek_FinalReport_FMTI2025.html</t>
  </si>
  <si>
    <r>
      <rPr/>
      <t xml:space="preserve">Data unavailable for DeepSeek's servers/cloud infrastructure; thus an industry average is used: </t>
    </r>
    <r>
      <rPr>
        <color rgb="FF1155CC"/>
        <u/>
      </rPr>
      <t>https://airsysnorthamerica.com/data-center-energy-efficiency-which-metrics-matter-most/</t>
    </r>
    <r>
      <rPr/>
      <t xml:space="preserve"> </t>
    </r>
  </si>
  <si>
    <t>China average from Rieg et al. (2020), Appendix 2</t>
  </si>
  <si>
    <r>
      <rPr>
        <color rgb="FF1155CC"/>
        <u/>
      </rPr>
      <t>https://edition.cnn.com/2025/09/19/business/deepseek-ai-training-cost-china-intl</t>
    </r>
    <r>
      <rPr>
        <color rgb="FF000000"/>
      </rPr>
      <t xml:space="preserve">   ,   </t>
    </r>
    <r>
      <rPr>
        <color rgb="FF1155CC"/>
        <u/>
      </rPr>
      <t>https://reglobal.org/china-and-us-electricity-review-ember/</t>
    </r>
    <r>
      <rPr>
        <color rgb="FF000000"/>
      </rPr>
      <t xml:space="preserve">  , </t>
    </r>
    <r>
      <rPr>
        <color rgb="FF1155CC"/>
        <u/>
      </rPr>
      <t>https://rmi.org/wp-content/uploads/dlm_uploads/2024/11/Powering_the_Data_Center_Boom_with_Low_Carbon_Solutions_report.pdf</t>
    </r>
    <r>
      <rPr>
        <color rgb="FF000000"/>
      </rPr>
      <t xml:space="preserve"> </t>
    </r>
  </si>
  <si>
    <r>
      <rPr/>
      <t xml:space="preserve">Data unavailable for DeepSeek's servers/cloud infrastructure; thus an industry average is used: </t>
    </r>
    <r>
      <rPr>
        <color rgb="FF1155CC"/>
        <u/>
      </rPr>
      <t>https://airsysnorthamerica.com/data-center-energy-efficiency-which-metrics-matter-most/</t>
    </r>
    <r>
      <rPr/>
      <t xml:space="preserve"> </t>
    </r>
  </si>
  <si>
    <t xml:space="preserve">DeepSeek V3 paper (https://arxiv.org/abs/2412.19437) </t>
  </si>
  <si>
    <r>
      <rPr/>
      <t xml:space="preserve">Data unavailable for DeepSeek's servers/cloud infrastructure; thus an industry average is used: </t>
    </r>
    <r>
      <rPr>
        <color rgb="FF1155CC"/>
        <u/>
      </rPr>
      <t>https://airsysnorthamerica.com/data-center-energy-efficiency-which-metrics-matter-most/</t>
    </r>
    <r>
      <rPr/>
      <t xml:space="preserve"> </t>
    </r>
  </si>
  <si>
    <r>
      <rPr/>
      <t xml:space="preserve">Phi 4 was likely trained on Microsoft's Azure cloud infrastructure; Microsoft published global average PUE and WUE data during 2023 and 2024: </t>
    </r>
    <r>
      <rPr>
        <color rgb="FF1155CC"/>
        <u/>
      </rPr>
      <t>https://datacenters.microsoft.com/sustainability/efficiency/</t>
    </r>
    <r>
      <rPr/>
      <t xml:space="preserve"> </t>
    </r>
  </si>
  <si>
    <r>
      <rPr/>
      <t xml:space="preserve">Phi 4 was likely trained on Microsoft's Azure cloud infrastructure; Microsoft published global average PUE and WUE data during 2023 and 2024: </t>
    </r>
    <r>
      <rPr>
        <color rgb="FF1155CC"/>
        <u/>
      </rPr>
      <t>https://datacenters.microsoft.com/sustainability/efficiency/</t>
    </r>
    <r>
      <rPr/>
      <t xml:space="preserve"> </t>
    </r>
  </si>
  <si>
    <t>Microsoft server global average estimate from Li et al. (2025)</t>
  </si>
  <si>
    <r>
      <rPr/>
      <t xml:space="preserve">Phi 3 was likely trained on Microsoft's Azure cloud infrastructure; Microsoft published global average PUE and WUE data during 2023 and 2024: </t>
    </r>
    <r>
      <rPr>
        <color rgb="FF1155CC"/>
        <u/>
      </rPr>
      <t>https://datacenters.microsoft.com/sustainability/efficiency/</t>
    </r>
    <r>
      <rPr/>
      <t xml:space="preserve"> </t>
    </r>
  </si>
  <si>
    <r>
      <rPr/>
      <t xml:space="preserve">Phi 3 was likely trained on Microsoft's Azure cloud infrastructure; Microsoft published global average PUE and WUE data during 2023 and 2024: </t>
    </r>
    <r>
      <rPr>
        <color rgb="FF1155CC"/>
        <u/>
      </rPr>
      <t>https://datacenters.microsoft.com/sustainability/efficiency/</t>
    </r>
    <r>
      <rPr/>
      <t xml:space="preserve"> </t>
    </r>
  </si>
  <si>
    <r>
      <rPr/>
      <t xml:space="preserve">Phi 2 was likely trained on Microsoft's Azure cloud infrastructure; Microsoft published US global PUE and WUE data during 2023 and 2024: </t>
    </r>
    <r>
      <rPr>
        <color rgb="FF1155CC"/>
        <u/>
      </rPr>
      <t>https://datacenters.microsoft.com/sustainability/efficiency/</t>
    </r>
    <r>
      <rPr/>
      <t xml:space="preserve"> </t>
    </r>
  </si>
  <si>
    <r>
      <rPr/>
      <t xml:space="preserve">Phi 2 was likely trained on Microsoft's Azure cloud infrastructure; Microsoft published global average PUE and WUE data during 2023 and 2024: </t>
    </r>
    <r>
      <rPr>
        <color rgb="FF1155CC"/>
        <u/>
      </rPr>
      <t>https://datacenters.microsoft.com/sustainability/efficiency/</t>
    </r>
    <r>
      <rPr/>
      <t xml:space="preserve"> </t>
    </r>
  </si>
  <si>
    <r>
      <rPr/>
      <t xml:space="preserve">Data unavailable for training servers; thus an industry average is used: </t>
    </r>
    <r>
      <rPr>
        <color rgb="FF1155CC"/>
        <u/>
      </rPr>
      <t>https://www.cfp.energy/en/insights/data-centre-power-consumption</t>
    </r>
    <r>
      <rPr/>
      <t xml:space="preserve"> </t>
    </r>
  </si>
  <si>
    <r>
      <rPr/>
      <t xml:space="preserve">Data unavailable for training servers; thus an industry average is used: </t>
    </r>
    <r>
      <rPr>
        <color rgb="FF1155CC"/>
        <u/>
      </rPr>
      <t>https://airsysnorthamerica.com/data-center-energy-efficiency-which-metrics-matter-most/</t>
    </r>
    <r>
      <rPr/>
      <t xml:space="preserve"> </t>
    </r>
  </si>
  <si>
    <r>
      <rPr/>
      <t xml:space="preserve">Data unavailable for training servers; thus an industry average is used: </t>
    </r>
    <r>
      <rPr>
        <color rgb="FF1155CC"/>
        <u/>
      </rPr>
      <t>https://www.cfp.energy/en/insights/data-centre-power-consumption</t>
    </r>
    <r>
      <rPr/>
      <t xml:space="preserve"> </t>
    </r>
  </si>
  <si>
    <r>
      <rPr/>
      <t xml:space="preserve">Data unavailable for training servers; thus an industry average is used: </t>
    </r>
    <r>
      <rPr>
        <color rgb="FF1155CC"/>
        <u/>
      </rPr>
      <t>https://airsysnorthamerica.com/data-center-energy-efficiency-which-metrics-matter-most/</t>
    </r>
    <r>
      <rPr/>
      <t xml:space="preserve"> </t>
    </r>
  </si>
  <si>
    <r>
      <rPr/>
      <t xml:space="preserve">Data unavailable; Google does not report WUE for their servers, thus an industry average value is used: </t>
    </r>
    <r>
      <rPr>
        <color rgb="FF1155CC"/>
        <u/>
      </rPr>
      <t>https://airsysnorthamerica.com/data-center-energy-efficiency-which-metrics-matter-most/</t>
    </r>
    <r>
      <rPr/>
      <t xml:space="preserve"> </t>
    </r>
  </si>
  <si>
    <t>Meena was trained on Google's datacenters in Georgia, USA, thus the eGRID average of Georgia from Rieg et al. (2020) is used</t>
  </si>
  <si>
    <r>
      <rPr/>
      <t xml:space="preserve">Data unavailable; Google does not report WUE for their servers, thus an industry average value is used: </t>
    </r>
    <r>
      <rPr>
        <color rgb="FF1155CC"/>
        <u/>
      </rPr>
      <t>https://airsysnorthamerica.com/data-center-energy-efficiency-which-metrics-matter-most/</t>
    </r>
    <r>
      <rPr/>
      <t xml:space="preserve"> </t>
    </r>
  </si>
  <si>
    <t>Trained on Google's North Carolina datacenter, average from Rieg et al. (2020) Appendix 2 for North Carolina used</t>
  </si>
  <si>
    <r>
      <rPr/>
      <t xml:space="preserve">Data unavailable; Google does not report WUE for their servers, thus an industry average value is used: </t>
    </r>
    <r>
      <rPr>
        <color rgb="FF1155CC"/>
        <u/>
      </rPr>
      <t>https://airsysnorthamerica.com/data-center-energy-efficiency-which-metrics-matter-most/</t>
    </r>
    <r>
      <rPr/>
      <t xml:space="preserve"> </t>
    </r>
  </si>
  <si>
    <t>Value from Chen et al. (2015) table 3 is used since Rieg et al. (2020) do not calculate it for Taiwan</t>
  </si>
  <si>
    <r>
      <rPr/>
      <t xml:space="preserve">Data unavailable; Google does not report WUE for their servers, thus an industry average value is used: </t>
    </r>
    <r>
      <rPr>
        <color rgb="FF1155CC"/>
        <u/>
      </rPr>
      <t>https://airsysnorthamerica.com/data-center-energy-efficiency-which-metrics-matter-most/</t>
    </r>
    <r>
      <rPr/>
      <t xml:space="preserve"> </t>
    </r>
  </si>
  <si>
    <t>Switch Transformer was trained on Google's datacenters in Georgia, USA, thus the eGRID average of Georgia from Rieg et al. (2020) is used</t>
  </si>
  <si>
    <r>
      <rPr/>
      <t xml:space="preserve">Google's average PUE for their servers in 2017, see: </t>
    </r>
    <r>
      <rPr>
        <color rgb="FF1155CC"/>
        <u/>
      </rPr>
      <t>https://datacenters.google/efficiency/</t>
    </r>
    <r>
      <rPr/>
      <t xml:space="preserve"> </t>
    </r>
  </si>
  <si>
    <r>
      <rPr/>
      <t xml:space="preserve">Data unavailable; Google does not report WUE for their servers, thus an industry average value is used: </t>
    </r>
    <r>
      <rPr>
        <color rgb="FF1155CC"/>
        <u/>
      </rPr>
      <t>https://airsysnorthamerica.com/data-center-energy-efficiency-which-metrics-matter-most/</t>
    </r>
    <r>
      <rPr/>
      <t xml:space="preserve"> </t>
    </r>
  </si>
  <si>
    <t>Google's average offsite WUE across all their AI datacenters, calculated in the table labelled "Energy Mixes"</t>
  </si>
  <si>
    <r>
      <rPr/>
      <t xml:space="preserve">Google's average PUE for their servers in 2017, see: </t>
    </r>
    <r>
      <rPr>
        <color rgb="FF1155CC"/>
        <u/>
      </rPr>
      <t>https://datacenters.google/efficiency/</t>
    </r>
    <r>
      <rPr/>
      <t xml:space="preserve"> </t>
    </r>
  </si>
  <si>
    <r>
      <rPr/>
      <t xml:space="preserve">Data unavailable; Google does not report WUE for their servers, thus an industry average value is used: </t>
    </r>
    <r>
      <rPr>
        <color rgb="FF1155CC"/>
        <u/>
      </rPr>
      <t>https://airsysnorthamerica.com/data-center-energy-efficiency-which-metrics-matter-most/</t>
    </r>
    <r>
      <rPr/>
      <t xml:space="preserve"> </t>
    </r>
  </si>
  <si>
    <r>
      <rPr/>
      <t xml:space="preserve">Data unavailable, thus an industry average is used for 2018: </t>
    </r>
    <r>
      <rPr>
        <color rgb="FF1155CC"/>
        <u/>
      </rPr>
      <t>https://uptimeinstitute.com/about-ui/press-releases/uptime-institute-10th-annual-global-data-center-survey</t>
    </r>
    <r>
      <rPr/>
      <t xml:space="preserve"> </t>
    </r>
  </si>
  <si>
    <r>
      <rPr/>
      <t xml:space="preserve">Data unavailable; Google does not report WUE for their servers, thus an industry average value is used: </t>
    </r>
    <r>
      <rPr>
        <color rgb="FF1155CC"/>
        <u/>
      </rPr>
      <t>https://airsysnorthamerica.com/data-center-energy-efficiency-which-metrics-matter-most/</t>
    </r>
    <r>
      <rPr/>
      <t xml:space="preserve"> </t>
    </r>
  </si>
  <si>
    <t>AWS Server location</t>
  </si>
  <si>
    <t>Offsite WUE in L/kWh(from Rieg et al. 2020)</t>
  </si>
  <si>
    <t>Average AWS offsite WUE (trn1)</t>
  </si>
  <si>
    <t>Google server location</t>
  </si>
  <si>
    <t>Average Google offsite WUE</t>
  </si>
  <si>
    <t>Energy type sources</t>
  </si>
  <si>
    <t>US east (Virginia)</t>
  </si>
  <si>
    <t>us-central1 (Council Bluffs, Iowa, USA)</t>
  </si>
  <si>
    <t>Rieg et al. (2020)</t>
  </si>
  <si>
    <t>US east 2 (Ohio)</t>
  </si>
  <si>
    <t>us-central2 (Tulsa, Oklahoma, USA)</t>
  </si>
  <si>
    <t>US west (Oregon)</t>
  </si>
  <si>
    <t>us-east1 (Moncks Corner, South Carolina, USA)</t>
  </si>
  <si>
    <t>Asia Pacific (India, Mumbai)</t>
  </si>
  <si>
    <t>us-east5 (Columbus, Ohio, USA)</t>
  </si>
  <si>
    <t>Asia Pacific (Australia, Melbourne)</t>
  </si>
  <si>
    <t>us-south1 (Dallas, Texas, USA)</t>
  </si>
  <si>
    <t>South America (Brazil, Sao Paolo)</t>
  </si>
  <si>
    <t>us-west1 (The Dalles, Oregon, USA)</t>
  </si>
  <si>
    <t>us-west4 (Las Vegas, Nevada, USA)</t>
  </si>
  <si>
    <t>europe-west4 (Eemshaven, Netherlands)</t>
  </si>
  <si>
    <t>asia-east1 (Changhua County, Taiwan)</t>
  </si>
  <si>
    <t>asia-northeast1 (Tokyo, Japan)</t>
  </si>
  <si>
    <t>southamerica-west1 (Santiago, Chile)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</si>
</sst>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color rgb="FF000000"/>
    </font>
    <font>
      <u/>
      <color rgb="FF0000FF"/>
    </font>
    <font>
      <u/>
      <color rgb="FF0000FF"/>
    </font>
    <font>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2" numFmtId="0" xfId="0" applyFont="1"/>
    <xf borderId="0" fillId="0" fontId="2" numFmtId="11" xfId="0" applyAlignment="1" applyFont="1" applyNumberFormat="1">
      <alignment readingOrder="0"/>
    </xf>
    <xf borderId="0" fillId="0" fontId="5" numFmtId="0" xfId="0" applyAlignment="1" applyFont="1">
      <alignment readingOrder="0"/>
    </xf>
    <xf borderId="0" fillId="0" fontId="2" numFmtId="3" xfId="0" applyAlignment="1" applyFont="1" applyNumberFormat="1">
      <alignment readingOrder="0"/>
    </xf>
    <xf borderId="0" fillId="0" fontId="2" numFmtId="0" xfId="0" applyAlignment="1" applyFont="1">
      <alignment readingOrder="0"/>
    </xf>
    <xf borderId="0" fillId="0" fontId="6" numFmtId="0" xfId="0" applyAlignment="1" applyFont="1">
      <alignment readingOrder="0"/>
    </xf>
    <xf borderId="0" fillId="0" fontId="6" numFmtId="0" xfId="0" applyFont="1"/>
    <xf borderId="0" fillId="0" fontId="6" numFmtId="11" xfId="0" applyAlignment="1" applyFont="1" applyNumberFormat="1">
      <alignment readingOrder="0"/>
    </xf>
    <xf borderId="0" fillId="0" fontId="1" numFmtId="0" xfId="0" applyAlignment="1" applyFont="1">
      <alignment horizontal="left" readingOrder="0"/>
    </xf>
    <xf borderId="0" fillId="0" fontId="2" numFmtId="0" xfId="0" applyAlignment="1" applyFont="1">
      <alignment horizontal="left" readingOrder="0"/>
    </xf>
    <xf borderId="0" fillId="0" fontId="2" numFmtId="1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zure.microsoft.com/en-us/blog/how-microsoft-measures-datacenter-water-and-energy-use-to-improve-azure-cloud-sustainability/" TargetMode="External"/><Relationship Id="rId42" Type="http://schemas.openxmlformats.org/officeDocument/2006/relationships/hyperlink" Target="https://datacenters.microsoft.com/sustainability/efficiency/" TargetMode="External"/><Relationship Id="rId41" Type="http://schemas.openxmlformats.org/officeDocument/2006/relationships/hyperlink" Target="https://towardsdatascience.com/the-carbon-footprint-of-gpt-4-d6c676eb21ae/" TargetMode="External"/><Relationship Id="rId44" Type="http://schemas.openxmlformats.org/officeDocument/2006/relationships/hyperlink" Target="https://edition.cnn.com/2025/09/19/business/deepseek-ai-training-cost-china-intl" TargetMode="External"/><Relationship Id="rId43" Type="http://schemas.openxmlformats.org/officeDocument/2006/relationships/hyperlink" Target="https://crfm.stanford.edu/fmti/December-2025/company-reports/DeepSeek_FinalReport_FMTI2025.html" TargetMode="External"/><Relationship Id="rId46" Type="http://schemas.openxmlformats.org/officeDocument/2006/relationships/hyperlink" Target="https://huggingface.co/microsoft/phi-4" TargetMode="External"/><Relationship Id="rId45" Type="http://schemas.openxmlformats.org/officeDocument/2006/relationships/hyperlink" Target="https://www.iea.org/reports/electricity-2025/emissions" TargetMode="External"/><Relationship Id="rId1" Type="http://schemas.openxmlformats.org/officeDocument/2006/relationships/hyperlink" Target="https://github.com/meta-llama/llama/blob/main/MODEL_CARD.md" TargetMode="External"/><Relationship Id="rId2" Type="http://schemas.openxmlformats.org/officeDocument/2006/relationships/hyperlink" Target="https://www.datacenterdynamics.com/en/news/meta-data-center-electricity-consumption-hits-14975gwh-leased-data-center-use-nearly-doubles/" TargetMode="External"/><Relationship Id="rId3" Type="http://schemas.openxmlformats.org/officeDocument/2006/relationships/hyperlink" Target="https://github.com/meta-llama/llama/blob/main/MODEL_CARD.md" TargetMode="External"/><Relationship Id="rId4" Type="http://schemas.openxmlformats.org/officeDocument/2006/relationships/hyperlink" Target="https://www.datacenterdynamics.com/en/news/meta-data-center-electricity-consumption-hits-14975gwh-leased-data-center-use-nearly-doubles/" TargetMode="External"/><Relationship Id="rId9" Type="http://schemas.openxmlformats.org/officeDocument/2006/relationships/hyperlink" Target="https://github.com/meta-llama/llama-models/blob/main/models/llama3/MODEL_CARD.md" TargetMode="External"/><Relationship Id="rId48" Type="http://schemas.openxmlformats.org/officeDocument/2006/relationships/hyperlink" Target="https://huggingface.co/microsoft/Phi-3-mini-128k-instruct" TargetMode="External"/><Relationship Id="rId47" Type="http://schemas.openxmlformats.org/officeDocument/2006/relationships/hyperlink" Target="https://datacenters.microsoft.com/sustainability/efficiency/" TargetMode="External"/><Relationship Id="rId49" Type="http://schemas.openxmlformats.org/officeDocument/2006/relationships/hyperlink" Target="https://datacenters.microsoft.com/sustainability/efficiency/" TargetMode="External"/><Relationship Id="rId5" Type="http://schemas.openxmlformats.org/officeDocument/2006/relationships/hyperlink" Target="https://github.com/meta-llama/llama/blob/main/MODEL_CARD.md" TargetMode="External"/><Relationship Id="rId6" Type="http://schemas.openxmlformats.org/officeDocument/2006/relationships/hyperlink" Target="https://www.datacenterdynamics.com/en/news/meta-data-center-electricity-consumption-hits-14975gwh-leased-data-center-use-nearly-doubles/" TargetMode="External"/><Relationship Id="rId7" Type="http://schemas.openxmlformats.org/officeDocument/2006/relationships/hyperlink" Target="https://github.com/meta-llama/llama-models/blob/main/models/llama3/MODEL_CARD.md" TargetMode="External"/><Relationship Id="rId8" Type="http://schemas.openxmlformats.org/officeDocument/2006/relationships/hyperlink" Target="https://www.datacenterdynamics.com/en/news/meta-data-center-electricity-consumption-hits-14975gwh-leased-data-center-use-nearly-doubles/" TargetMode="External"/><Relationship Id="rId31" Type="http://schemas.openxmlformats.org/officeDocument/2006/relationships/hyperlink" Target="https://aws.amazon.com/sustainability/data-centers/" TargetMode="External"/><Relationship Id="rId30" Type="http://schemas.openxmlformats.org/officeDocument/2006/relationships/hyperlink" Target="https://www.datacenterdynamics.com/en/news/meta-data-center-electricity-consumption-hits-14975gwh-leased-data-center-use-nearly-doubles/" TargetMode="External"/><Relationship Id="rId33" Type="http://schemas.openxmlformats.org/officeDocument/2006/relationships/hyperlink" Target="https://op.europa.eu/en/publication-detail/-/publication/83be4c3e-5c79-11f0-a9d0-01aa75ed71a1/language-en" TargetMode="External"/><Relationship Id="rId32" Type="http://schemas.openxmlformats.org/officeDocument/2006/relationships/hyperlink" Target="https://huggingface.co/docs/sagemaker/en/index" TargetMode="External"/><Relationship Id="rId35" Type="http://schemas.openxmlformats.org/officeDocument/2006/relationships/hyperlink" Target="https://www.cfp.energy/en/insights/data-centre-power-consumption" TargetMode="External"/><Relationship Id="rId34" Type="http://schemas.openxmlformats.org/officeDocument/2006/relationships/hyperlink" Target="https://uptimeinstitute.com/about-ui/press-releases/uptime-institute-10th-annual-global-data-center-survey" TargetMode="External"/><Relationship Id="rId37" Type="http://schemas.openxmlformats.org/officeDocument/2006/relationships/hyperlink" Target="https://azure.microsoft.com/en-us/blog/how-microsoft-measures-datacenter-water-and-energy-use-to-improve-azure-cloud-sustainability/" TargetMode="External"/><Relationship Id="rId36" Type="http://schemas.openxmlformats.org/officeDocument/2006/relationships/hyperlink" Target="https://huggingface.co/distilbert/distilgpt2" TargetMode="External"/><Relationship Id="rId39" Type="http://schemas.openxmlformats.org/officeDocument/2006/relationships/hyperlink" Target="https://www.cfp.energy/en/insights/data-centre-power-consumption" TargetMode="External"/><Relationship Id="rId38" Type="http://schemas.openxmlformats.org/officeDocument/2006/relationships/hyperlink" Target="https://pretty-radio-b75.notion.site/DeepScaleR-Surpassing-O1-Preview-with-a-1-5B-Model-by-Scaling-RL-19681902c1468005bed8ca303013a4e2" TargetMode="External"/><Relationship Id="rId20" Type="http://schemas.openxmlformats.org/officeDocument/2006/relationships/hyperlink" Target="https://www.datacenterdynamics.com/en/news/meta-data-center-electricity-consumption-hits-14975gwh-leased-data-center-use-nearly-doubles/" TargetMode="External"/><Relationship Id="rId22" Type="http://schemas.openxmlformats.org/officeDocument/2006/relationships/hyperlink" Target="https://www.datacenterdynamics.com/en/news/meta-data-center-electricity-consumption-hits-14975gwh-leased-data-center-use-nearly-doubles/" TargetMode="External"/><Relationship Id="rId21" Type="http://schemas.openxmlformats.org/officeDocument/2006/relationships/hyperlink" Target="https://github.com/meta-llama/llama-models/blob/main/models/llama3_2/MODEL_CARD.md" TargetMode="External"/><Relationship Id="rId24" Type="http://schemas.openxmlformats.org/officeDocument/2006/relationships/hyperlink" Target="https://www.datacenterdynamics.com/en/news/meta-data-center-electricity-consumption-hits-14975gwh-leased-data-center-use-nearly-doubles/" TargetMode="External"/><Relationship Id="rId23" Type="http://schemas.openxmlformats.org/officeDocument/2006/relationships/hyperlink" Target="https://github.com/meta-llama/llama-models/blob/main/models/llama3_2/MODEL_CARD.md" TargetMode="External"/><Relationship Id="rId26" Type="http://schemas.openxmlformats.org/officeDocument/2006/relationships/hyperlink" Target="https://www.datacenterdynamics.com/en/news/meta-data-center-electricity-consumption-hits-14975gwh-leased-data-center-use-nearly-doubles/" TargetMode="External"/><Relationship Id="rId25" Type="http://schemas.openxmlformats.org/officeDocument/2006/relationships/hyperlink" Target="https://github.com/meta-llama/llama-models/blob/main/models/llama3_3/MODEL_CARD.md" TargetMode="External"/><Relationship Id="rId28" Type="http://schemas.openxmlformats.org/officeDocument/2006/relationships/hyperlink" Target="https://www.datacenterdynamics.com/en/news/meta-data-center-electricity-consumption-hits-14975gwh-leased-data-center-use-nearly-doubles/" TargetMode="External"/><Relationship Id="rId27" Type="http://schemas.openxmlformats.org/officeDocument/2006/relationships/hyperlink" Target="https://github.com/meta-llama/llama-models/blob/main/models/llama4/MODEL_CARD.md" TargetMode="External"/><Relationship Id="rId29" Type="http://schemas.openxmlformats.org/officeDocument/2006/relationships/hyperlink" Target="https://github.com/meta-llama/llama-models/blob/main/models/llama4/MODEL_CARD.md" TargetMode="External"/><Relationship Id="rId51" Type="http://schemas.openxmlformats.org/officeDocument/2006/relationships/hyperlink" Target="https://datacenters.microsoft.com/sustainability/efficiency/" TargetMode="External"/><Relationship Id="rId50" Type="http://schemas.openxmlformats.org/officeDocument/2006/relationships/hyperlink" Target="https://huggingface.co/microsoft/phi-2" TargetMode="External"/><Relationship Id="rId53" Type="http://schemas.openxmlformats.org/officeDocument/2006/relationships/hyperlink" Target="https://www.cfp.energy/en/insights/data-centre-power-consumption" TargetMode="External"/><Relationship Id="rId52" Type="http://schemas.openxmlformats.org/officeDocument/2006/relationships/hyperlink" Target="https://developer.nvidia.com/blog/delivering-1-5-m-tps-inference-on-nvidia-gb200-nvl72-nvidia-accelerates-openai-gpt-oss-models-from-cloud-to-edge/" TargetMode="External"/><Relationship Id="rId11" Type="http://schemas.openxmlformats.org/officeDocument/2006/relationships/hyperlink" Target="https://github.com/meta-llama/llama-models/blob/main/models/llama3_1/MODEL_CARD.md" TargetMode="External"/><Relationship Id="rId55" Type="http://schemas.openxmlformats.org/officeDocument/2006/relationships/hyperlink" Target="https://www.cfp.energy/en/insights/data-centre-power-consumption" TargetMode="External"/><Relationship Id="rId10" Type="http://schemas.openxmlformats.org/officeDocument/2006/relationships/hyperlink" Target="https://www.datacenterdynamics.com/en/news/meta-data-center-electricity-consumption-hits-14975gwh-leased-data-center-use-nearly-doubles/" TargetMode="External"/><Relationship Id="rId54" Type="http://schemas.openxmlformats.org/officeDocument/2006/relationships/hyperlink" Target="https://developer.nvidia.com/blog/delivering-1-5-m-tps-inference-on-nvidia-gb200-nvl72-nvidia-accelerates-openai-gpt-oss-models-from-cloud-to-edge/" TargetMode="External"/><Relationship Id="rId13" Type="http://schemas.openxmlformats.org/officeDocument/2006/relationships/hyperlink" Target="https://github.com/meta-llama/llama-models/blob/main/models/llama3_1/MODEL_CARD.md" TargetMode="External"/><Relationship Id="rId57" Type="http://schemas.openxmlformats.org/officeDocument/2006/relationships/hyperlink" Target="https://datacenters.google/efficiency/" TargetMode="External"/><Relationship Id="rId12" Type="http://schemas.openxmlformats.org/officeDocument/2006/relationships/hyperlink" Target="https://www.datacenterdynamics.com/en/news/meta-data-center-electricity-consumption-hits-14975gwh-leased-data-center-use-nearly-doubles/" TargetMode="External"/><Relationship Id="rId56" Type="http://schemas.openxmlformats.org/officeDocument/2006/relationships/hyperlink" Target="https://datacenters.google/efficiency/" TargetMode="External"/><Relationship Id="rId15" Type="http://schemas.openxmlformats.org/officeDocument/2006/relationships/hyperlink" Target="https://github.com/meta-llama/llama-models/blob/main/models/llama3_1/MODEL_CARD.md" TargetMode="External"/><Relationship Id="rId59" Type="http://schemas.openxmlformats.org/officeDocument/2006/relationships/drawing" Target="../drawings/drawing1.xml"/><Relationship Id="rId14" Type="http://schemas.openxmlformats.org/officeDocument/2006/relationships/hyperlink" Target="https://www.datacenterdynamics.com/en/news/meta-data-center-electricity-consumption-hits-14975gwh-leased-data-center-use-nearly-doubles/" TargetMode="External"/><Relationship Id="rId58" Type="http://schemas.openxmlformats.org/officeDocument/2006/relationships/hyperlink" Target="https://uptimeinstitute.com/about-ui/press-releases/uptime-institute-10th-annual-global-data-center-survey" TargetMode="External"/><Relationship Id="rId17" Type="http://schemas.openxmlformats.org/officeDocument/2006/relationships/hyperlink" Target="https://github.com/meta-llama/llama-models/blob/main/models/llama3_2/MODEL_CARD.md" TargetMode="External"/><Relationship Id="rId16" Type="http://schemas.openxmlformats.org/officeDocument/2006/relationships/hyperlink" Target="https://www.datacenterdynamics.com/en/news/meta-data-center-electricity-consumption-hits-14975gwh-leased-data-center-use-nearly-doubles/" TargetMode="External"/><Relationship Id="rId19" Type="http://schemas.openxmlformats.org/officeDocument/2006/relationships/hyperlink" Target="https://github.com/meta-llama/llama-models/blob/main/models/llama3_2/MODEL_CARD.md" TargetMode="External"/><Relationship Id="rId18" Type="http://schemas.openxmlformats.org/officeDocument/2006/relationships/hyperlink" Target="https://www.datacenterdynamics.com/en/news/meta-data-center-electricity-consumption-hits-14975gwh-leased-data-center-use-nearly-doubles/"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github.com/meta-llama/llama-models/blob/main/models/llama4/MODEL_CARD.md" TargetMode="External"/><Relationship Id="rId42" Type="http://schemas.openxmlformats.org/officeDocument/2006/relationships/hyperlink" Target="https://www.datacenterdynamics.com/en/news/meta-data-center-electricity-consumption-hits-14975gwh-leased-data-center-use-nearly-doubles/" TargetMode="External"/><Relationship Id="rId41" Type="http://schemas.openxmlformats.org/officeDocument/2006/relationships/hyperlink" Target="https://www.datacenterdynamics.com/en/news/meta-data-center-electricity-consumption-hits-14975gwh-leased-data-center-use-nearly-doubles/" TargetMode="External"/><Relationship Id="rId44" Type="http://schemas.openxmlformats.org/officeDocument/2006/relationships/hyperlink" Target="https://www.datacenterdynamics.com/en/news/meta-data-center-electricity-consumption-hits-14975gwh-leased-data-center-use-nearly-doubles/" TargetMode="External"/><Relationship Id="rId43" Type="http://schemas.openxmlformats.org/officeDocument/2006/relationships/hyperlink" Target="https://github.com/meta-llama/llama-models/blob/main/models/llama4/MODEL_CARD.md" TargetMode="External"/><Relationship Id="rId46" Type="http://schemas.openxmlformats.org/officeDocument/2006/relationships/hyperlink" Target="https://sustainability.aboutamazon.com/products-services/aws-cloud" TargetMode="External"/><Relationship Id="rId45" Type="http://schemas.openxmlformats.org/officeDocument/2006/relationships/hyperlink" Target="https://www.datacenterdynamics.com/en/news/meta-data-center-electricity-consumption-hits-14975gwh-leased-data-center-use-nearly-doubles/" TargetMode="External"/><Relationship Id="rId48" Type="http://schemas.openxmlformats.org/officeDocument/2006/relationships/hyperlink" Target="https://sustainability.aboutamazon.com/products-services/aws-cloud" TargetMode="External"/><Relationship Id="rId47" Type="http://schemas.openxmlformats.org/officeDocument/2006/relationships/hyperlink" Target="https://aws.amazon.com/sustainability/data-centers/" TargetMode="External"/><Relationship Id="rId49" Type="http://schemas.openxmlformats.org/officeDocument/2006/relationships/hyperlink" Target="https://huggingface.co/docs/sagemaker/en/index" TargetMode="External"/><Relationship Id="rId31" Type="http://schemas.openxmlformats.org/officeDocument/2006/relationships/hyperlink" Target="https://github.com/meta-llama/llama-models/blob/main/models/llama3_2/MODEL_CARD.md" TargetMode="External"/><Relationship Id="rId30" Type="http://schemas.openxmlformats.org/officeDocument/2006/relationships/hyperlink" Target="https://www.datacenterdynamics.com/en/news/meta-data-center-electricity-consumption-hits-14975gwh-leased-data-center-use-nearly-doubles/" TargetMode="External"/><Relationship Id="rId33" Type="http://schemas.openxmlformats.org/officeDocument/2006/relationships/hyperlink" Target="https://www.datacenterdynamics.com/en/news/meta-data-center-electricity-consumption-hits-14975gwh-leased-data-center-use-nearly-doubles/" TargetMode="External"/><Relationship Id="rId32" Type="http://schemas.openxmlformats.org/officeDocument/2006/relationships/hyperlink" Target="https://www.datacenterdynamics.com/en/news/meta-data-center-electricity-consumption-hits-14975gwh-leased-data-center-use-nearly-doubles/" TargetMode="External"/><Relationship Id="rId35" Type="http://schemas.openxmlformats.org/officeDocument/2006/relationships/hyperlink" Target="https://www.datacenterdynamics.com/en/news/meta-data-center-electricity-consumption-hits-14975gwh-leased-data-center-use-nearly-doubles/" TargetMode="External"/><Relationship Id="rId34" Type="http://schemas.openxmlformats.org/officeDocument/2006/relationships/hyperlink" Target="https://github.com/meta-llama/llama-models/blob/main/models/llama3_2/MODEL_CARD.md" TargetMode="External"/><Relationship Id="rId37" Type="http://schemas.openxmlformats.org/officeDocument/2006/relationships/hyperlink" Target="https://github.com/meta-llama/llama-models/blob/main/models/llama3_3/MODEL_CARD.md" TargetMode="External"/><Relationship Id="rId36" Type="http://schemas.openxmlformats.org/officeDocument/2006/relationships/hyperlink" Target="https://www.datacenterdynamics.com/en/news/meta-data-center-electricity-consumption-hits-14975gwh-leased-data-center-use-nearly-doubles/" TargetMode="External"/><Relationship Id="rId39" Type="http://schemas.openxmlformats.org/officeDocument/2006/relationships/hyperlink" Target="https://www.datacenterdynamics.com/en/news/meta-data-center-electricity-consumption-hits-14975gwh-leased-data-center-use-nearly-doubles/" TargetMode="External"/><Relationship Id="rId38" Type="http://schemas.openxmlformats.org/officeDocument/2006/relationships/hyperlink" Target="https://www.datacenterdynamics.com/en/news/meta-data-center-electricity-consumption-hits-14975gwh-leased-data-center-use-nearly-doubles/" TargetMode="External"/><Relationship Id="rId20" Type="http://schemas.openxmlformats.org/officeDocument/2006/relationships/hyperlink" Target="https://www.datacenterdynamics.com/en/news/meta-data-center-electricity-consumption-hits-14975gwh-leased-data-center-use-nearly-doubles/" TargetMode="External"/><Relationship Id="rId22" Type="http://schemas.openxmlformats.org/officeDocument/2006/relationships/hyperlink" Target="https://github.com/meta-llama/llama-models/blob/main/models/llama3_1/MODEL_CARD.md" TargetMode="External"/><Relationship Id="rId21" Type="http://schemas.openxmlformats.org/officeDocument/2006/relationships/hyperlink" Target="https://www.datacenterdynamics.com/en/news/meta-data-center-electricity-consumption-hits-14975gwh-leased-data-center-use-nearly-doubles/" TargetMode="External"/><Relationship Id="rId24" Type="http://schemas.openxmlformats.org/officeDocument/2006/relationships/hyperlink" Target="https://www.datacenterdynamics.com/en/news/meta-data-center-electricity-consumption-hits-14975gwh-leased-data-center-use-nearly-doubles/" TargetMode="External"/><Relationship Id="rId23" Type="http://schemas.openxmlformats.org/officeDocument/2006/relationships/hyperlink" Target="https://www.datacenterdynamics.com/en/news/meta-data-center-electricity-consumption-hits-14975gwh-leased-data-center-use-nearly-doubles/" TargetMode="External"/><Relationship Id="rId26" Type="http://schemas.openxmlformats.org/officeDocument/2006/relationships/hyperlink" Target="https://www.datacenterdynamics.com/en/news/meta-data-center-electricity-consumption-hits-14975gwh-leased-data-center-use-nearly-doubles/" TargetMode="External"/><Relationship Id="rId25" Type="http://schemas.openxmlformats.org/officeDocument/2006/relationships/hyperlink" Target="https://github.com/meta-llama/llama-models/blob/main/models/llama3_2/MODEL_CARD.md" TargetMode="External"/><Relationship Id="rId28" Type="http://schemas.openxmlformats.org/officeDocument/2006/relationships/hyperlink" Target="https://github.com/meta-llama/llama-models/blob/main/models/llama3_2/MODEL_CARD.md" TargetMode="External"/><Relationship Id="rId27" Type="http://schemas.openxmlformats.org/officeDocument/2006/relationships/hyperlink" Target="https://www.datacenterdynamics.com/en/news/meta-data-center-electricity-consumption-hits-14975gwh-leased-data-center-use-nearly-doubles/" TargetMode="External"/><Relationship Id="rId29" Type="http://schemas.openxmlformats.org/officeDocument/2006/relationships/hyperlink" Target="https://www.datacenterdynamics.com/en/news/meta-data-center-electricity-consumption-hits-14975gwh-leased-data-center-use-nearly-doubles/" TargetMode="External"/><Relationship Id="rId95" Type="http://schemas.openxmlformats.org/officeDocument/2006/relationships/hyperlink" Target="https://airsysnorthamerica.com/data-center-energy-efficiency-which-metrics-matter-most/" TargetMode="External"/><Relationship Id="rId94" Type="http://schemas.openxmlformats.org/officeDocument/2006/relationships/hyperlink" Target="https://datacenters.google/efficiency/" TargetMode="External"/><Relationship Id="rId97" Type="http://schemas.openxmlformats.org/officeDocument/2006/relationships/hyperlink" Target="https://airsysnorthamerica.com/data-center-energy-efficiency-which-metrics-matter-most/" TargetMode="External"/><Relationship Id="rId96" Type="http://schemas.openxmlformats.org/officeDocument/2006/relationships/hyperlink" Target="https://uptimeinstitute.com/about-ui/press-releases/uptime-institute-10th-annual-global-data-center-survey" TargetMode="External"/><Relationship Id="rId11" Type="http://schemas.openxmlformats.org/officeDocument/2006/relationships/hyperlink" Target="https://www.datacenterdynamics.com/en/news/meta-data-center-electricity-consumption-hits-14975gwh-leased-data-center-use-nearly-doubles/" TargetMode="External"/><Relationship Id="rId10" Type="http://schemas.openxmlformats.org/officeDocument/2006/relationships/hyperlink" Target="https://github.com/meta-llama/llama-models/blob/main/models/llama3/MODEL_CARD.md" TargetMode="External"/><Relationship Id="rId98" Type="http://schemas.openxmlformats.org/officeDocument/2006/relationships/drawing" Target="../drawings/drawing2.xml"/><Relationship Id="rId13" Type="http://schemas.openxmlformats.org/officeDocument/2006/relationships/hyperlink" Target="https://github.com/meta-llama/llama-models/blob/main/models/llama3/MODEL_CARD.md" TargetMode="External"/><Relationship Id="rId12" Type="http://schemas.openxmlformats.org/officeDocument/2006/relationships/hyperlink" Target="https://www.datacenterdynamics.com/en/news/meta-data-center-electricity-consumption-hits-14975gwh-leased-data-center-use-nearly-doubles/" TargetMode="External"/><Relationship Id="rId91" Type="http://schemas.openxmlformats.org/officeDocument/2006/relationships/hyperlink" Target="https://airsysnorthamerica.com/data-center-energy-efficiency-which-metrics-matter-most/" TargetMode="External"/><Relationship Id="rId90" Type="http://schemas.openxmlformats.org/officeDocument/2006/relationships/hyperlink" Target="https://airsysnorthamerica.com/data-center-energy-efficiency-which-metrics-matter-most/" TargetMode="External"/><Relationship Id="rId93" Type="http://schemas.openxmlformats.org/officeDocument/2006/relationships/hyperlink" Target="https://airsysnorthamerica.com/data-center-energy-efficiency-which-metrics-matter-most/" TargetMode="External"/><Relationship Id="rId92" Type="http://schemas.openxmlformats.org/officeDocument/2006/relationships/hyperlink" Target="https://datacenters.google/efficiency/" TargetMode="External"/><Relationship Id="rId15" Type="http://schemas.openxmlformats.org/officeDocument/2006/relationships/hyperlink" Target="https://www.datacenterdynamics.com/en/news/meta-data-center-electricity-consumption-hits-14975gwh-leased-data-center-use-nearly-doubles/" TargetMode="External"/><Relationship Id="rId14" Type="http://schemas.openxmlformats.org/officeDocument/2006/relationships/hyperlink" Target="https://www.datacenterdynamics.com/en/news/meta-data-center-electricity-consumption-hits-14975gwh-leased-data-center-use-nearly-doubles/" TargetMode="External"/><Relationship Id="rId17" Type="http://schemas.openxmlformats.org/officeDocument/2006/relationships/hyperlink" Target="https://www.datacenterdynamics.com/en/news/meta-data-center-electricity-consumption-hits-14975gwh-leased-data-center-use-nearly-doubles/" TargetMode="External"/><Relationship Id="rId16" Type="http://schemas.openxmlformats.org/officeDocument/2006/relationships/hyperlink" Target="https://github.com/meta-llama/llama-models/blob/main/models/llama3_1/MODEL_CARD.md" TargetMode="External"/><Relationship Id="rId19" Type="http://schemas.openxmlformats.org/officeDocument/2006/relationships/hyperlink" Target="https://github.com/meta-llama/llama-models/blob/main/models/llama3_1/MODEL_CARD.md" TargetMode="External"/><Relationship Id="rId18" Type="http://schemas.openxmlformats.org/officeDocument/2006/relationships/hyperlink" Target="https://www.datacenterdynamics.com/en/news/meta-data-center-electricity-consumption-hits-14975gwh-leased-data-center-use-nearly-doubles/" TargetMode="External"/><Relationship Id="rId84" Type="http://schemas.openxmlformats.org/officeDocument/2006/relationships/hyperlink" Target="https://airsysnorthamerica.com/data-center-energy-efficiency-which-metrics-matter-most/" TargetMode="External"/><Relationship Id="rId83" Type="http://schemas.openxmlformats.org/officeDocument/2006/relationships/hyperlink" Target="https://www.cfp.energy/en/insights/data-centre-power-consumption" TargetMode="External"/><Relationship Id="rId86" Type="http://schemas.openxmlformats.org/officeDocument/2006/relationships/hyperlink" Target="https://www.cfp.energy/en/insights/data-centre-power-consumption" TargetMode="External"/><Relationship Id="rId85" Type="http://schemas.openxmlformats.org/officeDocument/2006/relationships/hyperlink" Target="https://developer.nvidia.com/blog/delivering-1-5-m-tps-inference-on-nvidia-gb200-nvl72-nvidia-accelerates-openai-gpt-oss-models-from-cloud-to-edge/" TargetMode="External"/><Relationship Id="rId88" Type="http://schemas.openxmlformats.org/officeDocument/2006/relationships/hyperlink" Target="https://airsysnorthamerica.com/data-center-energy-efficiency-which-metrics-matter-most/" TargetMode="External"/><Relationship Id="rId87" Type="http://schemas.openxmlformats.org/officeDocument/2006/relationships/hyperlink" Target="https://airsysnorthamerica.com/data-center-energy-efficiency-which-metrics-matter-most/" TargetMode="External"/><Relationship Id="rId89" Type="http://schemas.openxmlformats.org/officeDocument/2006/relationships/hyperlink" Target="https://airsysnorthamerica.com/data-center-energy-efficiency-which-metrics-matter-most/" TargetMode="External"/><Relationship Id="rId80" Type="http://schemas.openxmlformats.org/officeDocument/2006/relationships/hyperlink" Target="https://datacenters.microsoft.com/sustainability/efficiency/" TargetMode="External"/><Relationship Id="rId82" Type="http://schemas.openxmlformats.org/officeDocument/2006/relationships/hyperlink" Target="https://developer.nvidia.com/blog/delivering-1-5-m-tps-inference-on-nvidia-gb200-nvl72-nvidia-accelerates-openai-gpt-oss-models-from-cloud-to-edge/" TargetMode="External"/><Relationship Id="rId81" Type="http://schemas.openxmlformats.org/officeDocument/2006/relationships/hyperlink" Target="https://datacenters.microsoft.com/sustainability/efficiency/" TargetMode="External"/><Relationship Id="rId1" Type="http://schemas.openxmlformats.org/officeDocument/2006/relationships/hyperlink" Target="https://github.com/meta-llama/llama/blob/main/MODEL_CARD.md" TargetMode="External"/><Relationship Id="rId2" Type="http://schemas.openxmlformats.org/officeDocument/2006/relationships/hyperlink" Target="https://www.datacenterdynamics.com/en/news/meta-data-center-electricity-consumption-hits-14975gwh-leased-data-center-use-nearly-doubles/" TargetMode="External"/><Relationship Id="rId3" Type="http://schemas.openxmlformats.org/officeDocument/2006/relationships/hyperlink" Target="https://www.datacenterdynamics.com/en/news/meta-data-center-electricity-consumption-hits-14975gwh-leased-data-center-use-nearly-doubles/" TargetMode="External"/><Relationship Id="rId4" Type="http://schemas.openxmlformats.org/officeDocument/2006/relationships/hyperlink" Target="https://github.com/meta-llama/llama/blob/main/MODEL_CARD.md" TargetMode="External"/><Relationship Id="rId9" Type="http://schemas.openxmlformats.org/officeDocument/2006/relationships/hyperlink" Target="https://www.datacenterdynamics.com/en/news/meta-data-center-electricity-consumption-hits-14975gwh-leased-data-center-use-nearly-doubles/" TargetMode="External"/><Relationship Id="rId5" Type="http://schemas.openxmlformats.org/officeDocument/2006/relationships/hyperlink" Target="https://www.datacenterdynamics.com/en/news/meta-data-center-electricity-consumption-hits-14975gwh-leased-data-center-use-nearly-doubles/" TargetMode="External"/><Relationship Id="rId6" Type="http://schemas.openxmlformats.org/officeDocument/2006/relationships/hyperlink" Target="https://www.datacenterdynamics.com/en/news/meta-data-center-electricity-consumption-hits-14975gwh-leased-data-center-use-nearly-doubles/" TargetMode="External"/><Relationship Id="rId7" Type="http://schemas.openxmlformats.org/officeDocument/2006/relationships/hyperlink" Target="https://github.com/meta-llama/llama/blob/main/MODEL_CARD.md" TargetMode="External"/><Relationship Id="rId8" Type="http://schemas.openxmlformats.org/officeDocument/2006/relationships/hyperlink" Target="https://www.datacenterdynamics.com/en/news/meta-data-center-electricity-consumption-hits-14975gwh-leased-data-center-use-nearly-doubles/" TargetMode="External"/><Relationship Id="rId73" Type="http://schemas.openxmlformats.org/officeDocument/2006/relationships/hyperlink" Target="https://huggingface.co/microsoft/phi-4" TargetMode="External"/><Relationship Id="rId72" Type="http://schemas.openxmlformats.org/officeDocument/2006/relationships/hyperlink" Target="https://airsysnorthamerica.com/data-center-energy-efficiency-which-metrics-matter-most/" TargetMode="External"/><Relationship Id="rId75" Type="http://schemas.openxmlformats.org/officeDocument/2006/relationships/hyperlink" Target="https://datacenters.microsoft.com/sustainability/efficiency/" TargetMode="External"/><Relationship Id="rId74" Type="http://schemas.openxmlformats.org/officeDocument/2006/relationships/hyperlink" Target="https://datacenters.microsoft.com/sustainability/efficiency/" TargetMode="External"/><Relationship Id="rId77" Type="http://schemas.openxmlformats.org/officeDocument/2006/relationships/hyperlink" Target="https://datacenters.microsoft.com/sustainability/efficiency/" TargetMode="External"/><Relationship Id="rId76" Type="http://schemas.openxmlformats.org/officeDocument/2006/relationships/hyperlink" Target="https://huggingface.co/microsoft/Phi-3-mini-128k-instruct" TargetMode="External"/><Relationship Id="rId79" Type="http://schemas.openxmlformats.org/officeDocument/2006/relationships/hyperlink" Target="https://huggingface.co/microsoft/phi-2" TargetMode="External"/><Relationship Id="rId78" Type="http://schemas.openxmlformats.org/officeDocument/2006/relationships/hyperlink" Target="https://datacenters.microsoft.com/sustainability/efficiency/" TargetMode="External"/><Relationship Id="rId71" Type="http://schemas.openxmlformats.org/officeDocument/2006/relationships/hyperlink" Target="https://airsysnorthamerica.com/data-center-energy-efficiency-which-metrics-matter-most/" TargetMode="External"/><Relationship Id="rId70" Type="http://schemas.openxmlformats.org/officeDocument/2006/relationships/hyperlink" Target="https://edition.cnn.com/2025/09/19/business/deepseek-ai-training-cost-china-intl" TargetMode="External"/><Relationship Id="rId62" Type="http://schemas.openxmlformats.org/officeDocument/2006/relationships/hyperlink" Target="https://airsysnorthamerica.com/data-center-energy-efficiency-which-metrics-matter-most/" TargetMode="External"/><Relationship Id="rId61" Type="http://schemas.openxmlformats.org/officeDocument/2006/relationships/hyperlink" Target="https://www.cfp.energy/en/insights/data-centre-power-consumption" TargetMode="External"/><Relationship Id="rId64" Type="http://schemas.openxmlformats.org/officeDocument/2006/relationships/hyperlink" Target="https://azure.microsoft.com/en-us/blog/how-microsoft-measures-datacenter-water-and-energy-use-to-improve-azure-cloud-sustainability/" TargetMode="External"/><Relationship Id="rId63" Type="http://schemas.openxmlformats.org/officeDocument/2006/relationships/hyperlink" Target="https://azure.microsoft.com/en-us/blog/how-microsoft-measures-datacenter-water-and-energy-use-to-improve-azure-cloud-sustainability/" TargetMode="External"/><Relationship Id="rId66" Type="http://schemas.openxmlformats.org/officeDocument/2006/relationships/hyperlink" Target="https://datacenters.microsoft.com/sustainability/efficiency/" TargetMode="External"/><Relationship Id="rId65" Type="http://schemas.openxmlformats.org/officeDocument/2006/relationships/hyperlink" Target="https://towardsdatascience.com/the-carbon-footprint-of-gpt-4-d6c676eb21ae/" TargetMode="External"/><Relationship Id="rId68" Type="http://schemas.openxmlformats.org/officeDocument/2006/relationships/hyperlink" Target="https://crfm.stanford.edu/fmti/December-2025/company-reports/DeepSeek_FinalReport_FMTI2025.html" TargetMode="External"/><Relationship Id="rId67" Type="http://schemas.openxmlformats.org/officeDocument/2006/relationships/hyperlink" Target="https://datacenters.microsoft.com/sustainability/efficiency/" TargetMode="External"/><Relationship Id="rId60" Type="http://schemas.openxmlformats.org/officeDocument/2006/relationships/hyperlink" Target="https://pretty-radio-b75.notion.site/DeepScaleR-Surpassing-O1-Preview-with-a-1-5B-Model-by-Scaling-RL-19681902c1468005bed8ca303013a4e2" TargetMode="External"/><Relationship Id="rId69" Type="http://schemas.openxmlformats.org/officeDocument/2006/relationships/hyperlink" Target="https://airsysnorthamerica.com/data-center-energy-efficiency-which-metrics-matter-most/" TargetMode="External"/><Relationship Id="rId51" Type="http://schemas.openxmlformats.org/officeDocument/2006/relationships/hyperlink" Target="https://op.europa.eu/en/publication-detail/-/publication/83be4c3e-5c79-11f0-a9d0-01aa75ed71a1/language-en" TargetMode="External"/><Relationship Id="rId50" Type="http://schemas.openxmlformats.org/officeDocument/2006/relationships/hyperlink" Target="https://sustainability.aboutamazon.com/products-services/aws-cloud" TargetMode="External"/><Relationship Id="rId53" Type="http://schemas.openxmlformats.org/officeDocument/2006/relationships/hyperlink" Target="https://uptimeinstitute.com/about-ui/press-releases/uptime-institute-10th-annual-global-data-center-survey" TargetMode="External"/><Relationship Id="rId52" Type="http://schemas.openxmlformats.org/officeDocument/2006/relationships/hyperlink" Target="https://op.europa.eu/en/publication-detail/-/publication/83be4c3e-5c79-11f0-a9d0-01aa75ed71a1/language-en" TargetMode="External"/><Relationship Id="rId55" Type="http://schemas.openxmlformats.org/officeDocument/2006/relationships/hyperlink" Target="https://www.cfp.energy/en/insights/data-centre-power-consumption" TargetMode="External"/><Relationship Id="rId54" Type="http://schemas.openxmlformats.org/officeDocument/2006/relationships/hyperlink" Target="https://airsysnorthamerica.com/data-center-energy-efficiency-which-metrics-matter-most/" TargetMode="External"/><Relationship Id="rId57" Type="http://schemas.openxmlformats.org/officeDocument/2006/relationships/hyperlink" Target="https://huggingface.co/distilbert/distilgpt2" TargetMode="External"/><Relationship Id="rId56" Type="http://schemas.openxmlformats.org/officeDocument/2006/relationships/hyperlink" Target="https://airsysnorthamerica.com/data-center-energy-efficiency-which-metrics-matter-most/" TargetMode="External"/><Relationship Id="rId59" Type="http://schemas.openxmlformats.org/officeDocument/2006/relationships/hyperlink" Target="https://azure.microsoft.com/en-us/blog/how-microsoft-measures-datacenter-water-and-energy-use-to-improve-azure-cloud-sustainability/" TargetMode="External"/><Relationship Id="rId58" Type="http://schemas.openxmlformats.org/officeDocument/2006/relationships/hyperlink" Target="https://azure.microsoft.com/en-us/blog/how-microsoft-measures-datacenter-water-and-energy-use-to-improve-azure-cloud-sustainability/"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N1" s="1"/>
      <c r="O1" s="1"/>
    </row>
    <row r="2">
      <c r="A2" s="2" t="s">
        <v>12</v>
      </c>
      <c r="B2" s="2">
        <v>31.22</v>
      </c>
      <c r="C2" s="2">
        <v>7.0</v>
      </c>
      <c r="D2" s="3" t="s">
        <v>13</v>
      </c>
      <c r="E2" s="2">
        <v>2023.0</v>
      </c>
      <c r="F2" s="2" t="s">
        <v>14</v>
      </c>
      <c r="G2" s="2">
        <v>1.08</v>
      </c>
      <c r="H2" s="4" t="s">
        <v>15</v>
      </c>
      <c r="I2" s="5">
        <f>SUM(B2:B34)</f>
        <v>46767.48374</v>
      </c>
      <c r="J2" s="2" t="s">
        <v>16</v>
      </c>
      <c r="K2" s="6">
        <v>184320.0</v>
      </c>
      <c r="L2" s="2" t="s">
        <v>17</v>
      </c>
    </row>
    <row r="3">
      <c r="A3" s="2" t="s">
        <v>12</v>
      </c>
      <c r="B3" s="2">
        <v>62.44</v>
      </c>
      <c r="C3" s="2">
        <v>13.0</v>
      </c>
      <c r="D3" s="3" t="s">
        <v>13</v>
      </c>
      <c r="E3" s="2">
        <v>2023.0</v>
      </c>
      <c r="F3" s="2" t="s">
        <v>14</v>
      </c>
      <c r="G3" s="2">
        <v>1.08</v>
      </c>
      <c r="H3" s="4" t="s">
        <v>18</v>
      </c>
      <c r="J3" s="2" t="s">
        <v>16</v>
      </c>
      <c r="K3" s="2">
        <v>368640.0</v>
      </c>
      <c r="L3" s="2" t="s">
        <v>19</v>
      </c>
    </row>
    <row r="4">
      <c r="A4" s="2" t="s">
        <v>12</v>
      </c>
      <c r="B4" s="2">
        <v>291.42</v>
      </c>
      <c r="C4" s="2">
        <v>70.0</v>
      </c>
      <c r="D4" s="3" t="s">
        <v>13</v>
      </c>
      <c r="E4" s="2">
        <v>2023.0</v>
      </c>
      <c r="F4" s="2" t="s">
        <v>14</v>
      </c>
      <c r="G4" s="2">
        <v>1.08</v>
      </c>
      <c r="H4" s="4" t="s">
        <v>20</v>
      </c>
      <c r="J4" s="2" t="s">
        <v>16</v>
      </c>
      <c r="K4" s="2">
        <v>1720320.0</v>
      </c>
      <c r="L4" s="2" t="s">
        <v>21</v>
      </c>
    </row>
    <row r="5">
      <c r="A5" s="2" t="s">
        <v>22</v>
      </c>
      <c r="B5" s="2">
        <v>390.0</v>
      </c>
      <c r="C5" s="2">
        <v>8.0</v>
      </c>
      <c r="D5" s="7" t="s">
        <v>23</v>
      </c>
      <c r="E5" s="2">
        <v>2024.0</v>
      </c>
      <c r="F5" s="2" t="s">
        <v>14</v>
      </c>
      <c r="G5" s="2">
        <v>1.08</v>
      </c>
      <c r="H5" s="4" t="s">
        <v>24</v>
      </c>
      <c r="J5" s="2" t="s">
        <v>25</v>
      </c>
      <c r="K5" s="6">
        <v>1300000.0</v>
      </c>
      <c r="L5" s="2" t="s">
        <v>26</v>
      </c>
    </row>
    <row r="6">
      <c r="A6" s="2" t="s">
        <v>22</v>
      </c>
      <c r="B6" s="2">
        <v>1900.0</v>
      </c>
      <c r="C6" s="2">
        <v>70.0</v>
      </c>
      <c r="D6" s="7" t="s">
        <v>23</v>
      </c>
      <c r="E6" s="2">
        <v>2024.0</v>
      </c>
      <c r="F6" s="2" t="s">
        <v>14</v>
      </c>
      <c r="G6" s="2">
        <v>1.08</v>
      </c>
      <c r="H6" s="4" t="s">
        <v>27</v>
      </c>
      <c r="J6" s="2" t="s">
        <v>25</v>
      </c>
      <c r="K6" s="6">
        <v>6400000.0</v>
      </c>
      <c r="L6" s="2" t="s">
        <v>28</v>
      </c>
    </row>
    <row r="7">
      <c r="A7" s="2" t="s">
        <v>29</v>
      </c>
      <c r="B7" s="2">
        <v>420.0</v>
      </c>
      <c r="C7" s="2">
        <v>8.0</v>
      </c>
      <c r="D7" s="7" t="s">
        <v>30</v>
      </c>
      <c r="E7" s="2">
        <v>2024.0</v>
      </c>
      <c r="F7" s="2" t="s">
        <v>14</v>
      </c>
      <c r="G7" s="2">
        <v>1.08</v>
      </c>
      <c r="H7" s="4" t="s">
        <v>31</v>
      </c>
      <c r="J7" s="2" t="s">
        <v>25</v>
      </c>
      <c r="K7" s="6">
        <v>1460000.0</v>
      </c>
      <c r="L7" s="2" t="s">
        <v>32</v>
      </c>
    </row>
    <row r="8">
      <c r="A8" s="2" t="s">
        <v>29</v>
      </c>
      <c r="B8" s="2">
        <v>2040.0</v>
      </c>
      <c r="C8" s="2">
        <v>70.0</v>
      </c>
      <c r="D8" s="7" t="s">
        <v>30</v>
      </c>
      <c r="E8" s="2">
        <v>2024.0</v>
      </c>
      <c r="F8" s="2" t="s">
        <v>14</v>
      </c>
      <c r="G8" s="2">
        <v>1.08</v>
      </c>
      <c r="H8" s="4" t="s">
        <v>33</v>
      </c>
      <c r="J8" s="2" t="s">
        <v>25</v>
      </c>
      <c r="K8" s="6">
        <v>7000000.0</v>
      </c>
      <c r="L8" s="2" t="s">
        <v>34</v>
      </c>
    </row>
    <row r="9">
      <c r="A9" s="2" t="s">
        <v>29</v>
      </c>
      <c r="B9" s="2">
        <v>8930.0</v>
      </c>
      <c r="C9" s="2">
        <v>405.0</v>
      </c>
      <c r="D9" s="7" t="s">
        <v>30</v>
      </c>
      <c r="E9" s="2">
        <v>2024.0</v>
      </c>
      <c r="F9" s="2" t="s">
        <v>14</v>
      </c>
      <c r="G9" s="2">
        <v>1.08</v>
      </c>
      <c r="H9" s="4" t="s">
        <v>35</v>
      </c>
      <c r="J9" s="2" t="s">
        <v>25</v>
      </c>
      <c r="K9" s="6">
        <v>3.084E7</v>
      </c>
      <c r="L9" s="2" t="s">
        <v>36</v>
      </c>
    </row>
    <row r="10">
      <c r="A10" s="2" t="s">
        <v>37</v>
      </c>
      <c r="B10" s="2">
        <v>107.0</v>
      </c>
      <c r="C10" s="2">
        <v>1.0</v>
      </c>
      <c r="D10" s="7" t="s">
        <v>38</v>
      </c>
      <c r="E10" s="2">
        <v>2024.0</v>
      </c>
      <c r="F10" s="2" t="s">
        <v>14</v>
      </c>
      <c r="G10" s="2">
        <v>1.08</v>
      </c>
      <c r="H10" s="4" t="s">
        <v>39</v>
      </c>
      <c r="J10" s="2" t="s">
        <v>25</v>
      </c>
      <c r="K10" s="8">
        <v>370000.0</v>
      </c>
      <c r="L10" s="2" t="s">
        <v>40</v>
      </c>
    </row>
    <row r="11">
      <c r="A11" s="2" t="s">
        <v>37</v>
      </c>
      <c r="B11" s="2">
        <v>133.0</v>
      </c>
      <c r="C11" s="2">
        <v>3.0</v>
      </c>
      <c r="D11" s="7" t="s">
        <v>38</v>
      </c>
      <c r="E11" s="2">
        <v>2024.0</v>
      </c>
      <c r="F11" s="2" t="s">
        <v>14</v>
      </c>
      <c r="G11" s="2">
        <v>1.08</v>
      </c>
      <c r="H11" s="4" t="s">
        <v>41</v>
      </c>
      <c r="J11" s="2" t="s">
        <v>25</v>
      </c>
      <c r="K11" s="8">
        <v>460000.0</v>
      </c>
      <c r="L11" s="2" t="s">
        <v>42</v>
      </c>
    </row>
    <row r="12">
      <c r="A12" s="2" t="s">
        <v>43</v>
      </c>
      <c r="B12" s="2">
        <v>0.381</v>
      </c>
      <c r="C12" s="2">
        <v>1.0</v>
      </c>
      <c r="D12" s="7" t="s">
        <v>38</v>
      </c>
      <c r="E12" s="2">
        <v>2024.0</v>
      </c>
      <c r="F12" s="2" t="s">
        <v>14</v>
      </c>
      <c r="G12" s="2">
        <v>1.08</v>
      </c>
      <c r="H12" s="4" t="s">
        <v>44</v>
      </c>
      <c r="J12" s="2" t="s">
        <v>25</v>
      </c>
      <c r="K12" s="2">
        <v>1300.0</v>
      </c>
      <c r="L12" s="2" t="s">
        <v>45</v>
      </c>
    </row>
    <row r="13">
      <c r="A13" s="2" t="s">
        <v>43</v>
      </c>
      <c r="B13" s="2">
        <v>0.461</v>
      </c>
      <c r="C13" s="2">
        <v>3.0</v>
      </c>
      <c r="D13" s="7" t="s">
        <v>38</v>
      </c>
      <c r="E13" s="2">
        <v>2024.0</v>
      </c>
      <c r="F13" s="2" t="s">
        <v>14</v>
      </c>
      <c r="G13" s="2">
        <v>1.08</v>
      </c>
      <c r="H13" s="4" t="s">
        <v>46</v>
      </c>
      <c r="J13" s="2" t="s">
        <v>25</v>
      </c>
      <c r="K13" s="2">
        <v>1600.0</v>
      </c>
      <c r="L13" s="2" t="s">
        <v>45</v>
      </c>
    </row>
    <row r="14">
      <c r="A14" s="2" t="s">
        <v>47</v>
      </c>
      <c r="B14" s="2">
        <v>11390.0</v>
      </c>
      <c r="C14" s="2">
        <v>70.0</v>
      </c>
      <c r="D14" s="7" t="s">
        <v>48</v>
      </c>
      <c r="E14" s="2">
        <v>2024.0</v>
      </c>
      <c r="F14" s="2" t="s">
        <v>14</v>
      </c>
      <c r="G14" s="2">
        <v>1.08</v>
      </c>
      <c r="H14" s="4" t="s">
        <v>49</v>
      </c>
      <c r="J14" s="2" t="s">
        <v>25</v>
      </c>
      <c r="K14" s="6">
        <v>7000000.0</v>
      </c>
      <c r="L14" s="2" t="s">
        <v>50</v>
      </c>
    </row>
    <row r="15">
      <c r="A15" s="2" t="s">
        <v>51</v>
      </c>
      <c r="B15" s="2">
        <v>1354.0</v>
      </c>
      <c r="C15" s="2">
        <v>109.0</v>
      </c>
      <c r="D15" s="7" t="s">
        <v>52</v>
      </c>
      <c r="E15" s="2">
        <v>2025.0</v>
      </c>
      <c r="F15" s="2" t="s">
        <v>14</v>
      </c>
      <c r="G15" s="2">
        <v>1.08</v>
      </c>
      <c r="H15" s="4" t="s">
        <v>53</v>
      </c>
      <c r="J15" s="2" t="s">
        <v>25</v>
      </c>
      <c r="K15" s="6">
        <v>5000000.0</v>
      </c>
      <c r="L15" s="2" t="s">
        <v>54</v>
      </c>
    </row>
    <row r="16">
      <c r="A16" s="2" t="s">
        <v>55</v>
      </c>
      <c r="B16" s="2">
        <v>645.0</v>
      </c>
      <c r="C16" s="2">
        <v>400.0</v>
      </c>
      <c r="D16" s="7" t="s">
        <v>52</v>
      </c>
      <c r="E16" s="2">
        <v>2025.0</v>
      </c>
      <c r="F16" s="2" t="s">
        <v>14</v>
      </c>
      <c r="G16" s="2">
        <v>1.08</v>
      </c>
      <c r="H16" s="4" t="s">
        <v>56</v>
      </c>
      <c r="J16" s="2" t="s">
        <v>25</v>
      </c>
      <c r="K16" s="6">
        <v>2380000.0</v>
      </c>
      <c r="L16" s="2" t="s">
        <v>57</v>
      </c>
    </row>
    <row r="17">
      <c r="A17" s="2" t="s">
        <v>58</v>
      </c>
      <c r="B17" s="2">
        <v>16.68</v>
      </c>
      <c r="C17" s="2">
        <v>15.5</v>
      </c>
      <c r="D17" s="2" t="s">
        <v>59</v>
      </c>
      <c r="E17" s="2">
        <v>2023.0</v>
      </c>
      <c r="F17" s="2" t="s">
        <v>60</v>
      </c>
      <c r="G17" s="2">
        <v>1.2</v>
      </c>
      <c r="H17" s="9" t="s">
        <v>61</v>
      </c>
      <c r="J17" s="2" t="s">
        <v>25</v>
      </c>
      <c r="K17" s="8">
        <v>320256.0</v>
      </c>
      <c r="L17" s="2" t="s">
        <v>62</v>
      </c>
    </row>
    <row r="18">
      <c r="A18" s="2" t="s">
        <v>63</v>
      </c>
      <c r="B18" s="2">
        <v>16.1</v>
      </c>
      <c r="C18" s="2">
        <v>3.0</v>
      </c>
      <c r="D18" s="2" t="s">
        <v>64</v>
      </c>
      <c r="E18" s="2">
        <v>2024.0</v>
      </c>
      <c r="F18" s="2" t="s">
        <v>60</v>
      </c>
      <c r="G18" s="2">
        <v>1.15</v>
      </c>
      <c r="H18" s="4" t="s">
        <v>65</v>
      </c>
      <c r="J18" s="2" t="s">
        <v>25</v>
      </c>
      <c r="K18" s="8">
        <v>97120.0</v>
      </c>
      <c r="L18" s="2" t="s">
        <v>66</v>
      </c>
    </row>
    <row r="19">
      <c r="A19" s="2" t="s">
        <v>63</v>
      </c>
      <c r="B19" s="2">
        <v>29.6</v>
      </c>
      <c r="C19" s="2">
        <v>7.0</v>
      </c>
      <c r="D19" s="2" t="s">
        <v>64</v>
      </c>
      <c r="E19" s="2">
        <v>2024.0</v>
      </c>
      <c r="F19" s="2" t="s">
        <v>60</v>
      </c>
      <c r="G19" s="2">
        <v>1.15</v>
      </c>
      <c r="H19" s="4" t="s">
        <v>67</v>
      </c>
      <c r="J19" s="2" t="s">
        <v>25</v>
      </c>
      <c r="K19" s="8">
        <f>145152+1601.23</f>
        <v>146753.23</v>
      </c>
      <c r="L19" s="2" t="s">
        <v>68</v>
      </c>
    </row>
    <row r="20">
      <c r="A20" s="2" t="s">
        <v>69</v>
      </c>
      <c r="B20" s="2">
        <v>24.7</v>
      </c>
      <c r="C20" s="2">
        <v>176.0</v>
      </c>
      <c r="D20" s="2" t="s">
        <v>70</v>
      </c>
      <c r="E20" s="2">
        <v>2022.0</v>
      </c>
      <c r="F20" s="2" t="s">
        <v>71</v>
      </c>
      <c r="G20" s="2">
        <v>1.55</v>
      </c>
      <c r="H20" s="4" t="s">
        <v>72</v>
      </c>
      <c r="J20" s="2" t="s">
        <v>16</v>
      </c>
      <c r="K20" s="8">
        <v>1082990.0</v>
      </c>
      <c r="L20" s="2" t="s">
        <v>73</v>
      </c>
    </row>
    <row r="21" ht="15.0" customHeight="1">
      <c r="A21" s="2" t="s">
        <v>74</v>
      </c>
      <c r="B21" s="2">
        <v>1438.0</v>
      </c>
      <c r="C21" s="2">
        <v>0.11</v>
      </c>
      <c r="D21" s="2" t="s">
        <v>75</v>
      </c>
      <c r="E21" s="2">
        <v>2018.0</v>
      </c>
      <c r="F21" s="2" t="s">
        <v>14</v>
      </c>
      <c r="G21" s="2">
        <v>1.58</v>
      </c>
      <c r="H21" s="4" t="s">
        <v>76</v>
      </c>
      <c r="J21" s="2" t="s">
        <v>77</v>
      </c>
      <c r="K21" s="2">
        <f>8*12</f>
        <v>96</v>
      </c>
      <c r="L21" s="2" t="s">
        <v>78</v>
      </c>
    </row>
    <row r="22" ht="15.0" customHeight="1">
      <c r="A22" s="2" t="s">
        <v>79</v>
      </c>
      <c r="B22" s="2">
        <v>219.9</v>
      </c>
      <c r="C22" s="2">
        <v>65.0</v>
      </c>
      <c r="D22" s="2" t="s">
        <v>80</v>
      </c>
      <c r="E22" s="2">
        <v>2024.0</v>
      </c>
      <c r="F22" s="2" t="s">
        <v>81</v>
      </c>
      <c r="G22" s="2">
        <v>1.5</v>
      </c>
      <c r="H22" s="4" t="s">
        <v>82</v>
      </c>
      <c r="J22" s="2" t="s">
        <v>83</v>
      </c>
      <c r="K22" s="5">
        <f>480*(100*24)</f>
        <v>1152000</v>
      </c>
      <c r="L22" s="2" t="s">
        <v>84</v>
      </c>
    </row>
    <row r="23">
      <c r="A23" s="2" t="s">
        <v>85</v>
      </c>
      <c r="B23" s="2">
        <v>0.1492</v>
      </c>
      <c r="C23" s="2">
        <v>0.082</v>
      </c>
      <c r="D23" s="7" t="s">
        <v>86</v>
      </c>
      <c r="E23" s="2">
        <v>2019.0</v>
      </c>
      <c r="F23" s="2" t="s">
        <v>14</v>
      </c>
      <c r="G23" s="2">
        <v>1.17</v>
      </c>
      <c r="H23" s="4" t="s">
        <v>87</v>
      </c>
      <c r="J23" s="2" t="s">
        <v>77</v>
      </c>
      <c r="K23" s="2">
        <f>8*168</f>
        <v>1344</v>
      </c>
      <c r="L23" s="2" t="s">
        <v>88</v>
      </c>
    </row>
    <row r="24">
      <c r="A24" s="2" t="s">
        <v>89</v>
      </c>
      <c r="B24" s="10">
        <f>(((3800*400*G24)/1000)*0.426)/1000</f>
        <v>0.97128</v>
      </c>
      <c r="C24" s="2">
        <v>1.5</v>
      </c>
      <c r="D24" s="4" t="s">
        <v>90</v>
      </c>
      <c r="E24" s="2">
        <v>2025.0</v>
      </c>
      <c r="F24" s="2" t="s">
        <v>14</v>
      </c>
      <c r="G24" s="2">
        <v>1.5</v>
      </c>
      <c r="H24" s="4" t="s">
        <v>91</v>
      </c>
      <c r="J24" s="2" t="s">
        <v>83</v>
      </c>
      <c r="K24" s="8">
        <v>3800.0</v>
      </c>
      <c r="L24" s="2" t="s">
        <v>92</v>
      </c>
    </row>
    <row r="25">
      <c r="A25" s="2" t="s">
        <v>93</v>
      </c>
      <c r="B25" s="10">
        <v>552.1</v>
      </c>
      <c r="C25" s="2">
        <v>175.0</v>
      </c>
      <c r="D25" s="9" t="s">
        <v>94</v>
      </c>
      <c r="E25" s="2">
        <v>2020.0</v>
      </c>
      <c r="F25" s="2" t="s">
        <v>14</v>
      </c>
      <c r="G25" s="2">
        <v>1.18</v>
      </c>
      <c r="H25" s="4" t="s">
        <v>95</v>
      </c>
      <c r="J25" s="2" t="s">
        <v>77</v>
      </c>
      <c r="K25" s="5">
        <f>10000*(14.8*24)</f>
        <v>3552000</v>
      </c>
      <c r="L25" s="2" t="s">
        <v>45</v>
      </c>
    </row>
    <row r="26">
      <c r="A26" s="2" t="s">
        <v>96</v>
      </c>
      <c r="B26" s="10">
        <v>13725.0</v>
      </c>
      <c r="C26" s="2">
        <v>1800.0</v>
      </c>
      <c r="D26" s="4" t="s">
        <v>97</v>
      </c>
      <c r="E26" s="2">
        <v>2023.0</v>
      </c>
      <c r="F26" s="2" t="s">
        <v>14</v>
      </c>
      <c r="G26" s="2">
        <v>1.16</v>
      </c>
      <c r="H26" s="4" t="s">
        <v>98</v>
      </c>
      <c r="J26" s="2" t="s">
        <v>83</v>
      </c>
      <c r="K26" s="5">
        <f>2600*3125</f>
        <v>8125000</v>
      </c>
      <c r="L26" s="2" t="s">
        <v>45</v>
      </c>
    </row>
    <row r="27">
      <c r="A27" s="2" t="s">
        <v>99</v>
      </c>
      <c r="B27" s="11">
        <f t="shared" ref="B27:B28" si="1">(((K27*700*G27)/1000)*0.528)/1000</f>
        <v>56.2028544</v>
      </c>
      <c r="C27" s="2">
        <v>685.0</v>
      </c>
      <c r="D27" s="4" t="s">
        <v>100</v>
      </c>
      <c r="E27" s="2">
        <v>2025.0</v>
      </c>
      <c r="F27" s="2" t="s">
        <v>101</v>
      </c>
      <c r="G27" s="2">
        <v>1.5</v>
      </c>
      <c r="H27" s="2" t="s">
        <v>102</v>
      </c>
      <c r="J27" s="2" t="s">
        <v>103</v>
      </c>
      <c r="K27" s="5">
        <f>64*8*198</f>
        <v>101376</v>
      </c>
      <c r="L27" s="2" t="s">
        <v>104</v>
      </c>
    </row>
    <row r="28">
      <c r="A28" s="2" t="s">
        <v>105</v>
      </c>
      <c r="B28" s="10">
        <f t="shared" si="1"/>
        <v>22.708224</v>
      </c>
      <c r="C28" s="2">
        <v>671.0</v>
      </c>
      <c r="D28" s="4" t="s">
        <v>106</v>
      </c>
      <c r="E28" s="2">
        <v>2025.0</v>
      </c>
      <c r="F28" s="2" t="s">
        <v>101</v>
      </c>
      <c r="G28" s="2">
        <v>1.5</v>
      </c>
      <c r="H28" s="2" t="s">
        <v>102</v>
      </c>
      <c r="J28" s="2" t="s">
        <v>103</v>
      </c>
      <c r="K28" s="5">
        <f>80*512</f>
        <v>40960</v>
      </c>
      <c r="L28" s="2" t="s">
        <v>107</v>
      </c>
    </row>
    <row r="29">
      <c r="A29" s="2" t="s">
        <v>108</v>
      </c>
      <c r="B29" s="10">
        <f>(((K29*700*G29)/1000)*0.563)/1000</f>
        <v>1648.1262</v>
      </c>
      <c r="C29" s="2">
        <v>671.0</v>
      </c>
      <c r="D29" s="4" t="s">
        <v>109</v>
      </c>
      <c r="E29" s="2">
        <v>2024.0</v>
      </c>
      <c r="F29" s="2" t="s">
        <v>101</v>
      </c>
      <c r="G29" s="2">
        <v>1.5</v>
      </c>
      <c r="H29" s="2" t="s">
        <v>102</v>
      </c>
      <c r="J29" s="2" t="s">
        <v>103</v>
      </c>
      <c r="K29" s="8">
        <v>2788000.0</v>
      </c>
      <c r="L29" s="2" t="s">
        <v>110</v>
      </c>
    </row>
    <row r="30">
      <c r="A30" s="2" t="s">
        <v>111</v>
      </c>
      <c r="B30" s="10">
        <f t="shared" ref="B30:B31" si="2">(((K30*700*G30)/1000)*0.321)/1000</f>
        <v>252.2277274</v>
      </c>
      <c r="C30" s="2">
        <v>15.0</v>
      </c>
      <c r="D30" s="7" t="s">
        <v>112</v>
      </c>
      <c r="E30" s="2">
        <v>2024.0</v>
      </c>
      <c r="F30" s="2" t="s">
        <v>14</v>
      </c>
      <c r="G30" s="2">
        <v>1.16</v>
      </c>
      <c r="H30" s="4" t="s">
        <v>113</v>
      </c>
      <c r="J30" s="2" t="s">
        <v>25</v>
      </c>
      <c r="K30" s="5">
        <f>1920*21*24</f>
        <v>967680</v>
      </c>
      <c r="L30" s="2" t="s">
        <v>114</v>
      </c>
    </row>
    <row r="31">
      <c r="A31" s="2" t="s">
        <v>115</v>
      </c>
      <c r="B31" s="10">
        <f t="shared" si="2"/>
        <v>32.02891776</v>
      </c>
      <c r="C31" s="2">
        <v>3.8</v>
      </c>
      <c r="D31" s="7" t="s">
        <v>116</v>
      </c>
      <c r="E31" s="2">
        <v>2024.0</v>
      </c>
      <c r="F31" s="2" t="s">
        <v>14</v>
      </c>
      <c r="G31" s="2">
        <v>1.16</v>
      </c>
      <c r="H31" s="4" t="s">
        <v>117</v>
      </c>
      <c r="J31" s="2" t="s">
        <v>25</v>
      </c>
      <c r="K31" s="5">
        <f>512*10*24</f>
        <v>122880</v>
      </c>
      <c r="L31" s="2" t="s">
        <v>118</v>
      </c>
    </row>
    <row r="32">
      <c r="A32" s="2" t="s">
        <v>119</v>
      </c>
      <c r="B32" s="10">
        <f>(((K32*400*G32)/1000)*0.321)/1000</f>
        <v>4.804337664</v>
      </c>
      <c r="C32" s="2">
        <v>3.0</v>
      </c>
      <c r="D32" s="4" t="s">
        <v>120</v>
      </c>
      <c r="E32" s="2">
        <v>2025.0</v>
      </c>
      <c r="F32" s="2" t="s">
        <v>14</v>
      </c>
      <c r="G32" s="2">
        <v>1.16</v>
      </c>
      <c r="H32" s="4" t="s">
        <v>121</v>
      </c>
      <c r="J32" s="2" t="s">
        <v>83</v>
      </c>
      <c r="K32" s="5">
        <f>96*14*24</f>
        <v>32256</v>
      </c>
      <c r="L32" s="2" t="s">
        <v>122</v>
      </c>
    </row>
    <row r="33">
      <c r="A33" s="2" t="s">
        <v>123</v>
      </c>
      <c r="B33" s="12">
        <f t="shared" ref="B33:B34" si="3">(((K33*700*G33)/1000)*0.426)/1000</f>
        <v>93.933</v>
      </c>
      <c r="C33" s="2">
        <v>20.0</v>
      </c>
      <c r="D33" s="7" t="s">
        <v>124</v>
      </c>
      <c r="E33" s="2">
        <v>2025.0</v>
      </c>
      <c r="F33" s="2" t="s">
        <v>14</v>
      </c>
      <c r="G33" s="2">
        <v>1.5</v>
      </c>
      <c r="H33" s="4" t="s">
        <v>125</v>
      </c>
      <c r="J33" s="2" t="s">
        <v>25</v>
      </c>
      <c r="K33" s="6">
        <v>210000.0</v>
      </c>
      <c r="L33" s="2" t="s">
        <v>126</v>
      </c>
    </row>
    <row r="34">
      <c r="A34" s="2" t="s">
        <v>123</v>
      </c>
      <c r="B34" s="12">
        <f t="shared" si="3"/>
        <v>939.33</v>
      </c>
      <c r="C34" s="2">
        <v>117.0</v>
      </c>
      <c r="D34" s="7" t="s">
        <v>124</v>
      </c>
      <c r="E34" s="2">
        <v>2025.0</v>
      </c>
      <c r="F34" s="2" t="s">
        <v>14</v>
      </c>
      <c r="G34" s="2">
        <v>1.5</v>
      </c>
      <c r="H34" s="4" t="s">
        <v>127</v>
      </c>
      <c r="J34" s="2" t="s">
        <v>25</v>
      </c>
      <c r="K34" s="6">
        <v>2100000.0</v>
      </c>
      <c r="L34" s="2" t="s">
        <v>128</v>
      </c>
    </row>
    <row r="35">
      <c r="A35" s="2" t="s">
        <v>129</v>
      </c>
      <c r="B35" s="2">
        <v>96.4</v>
      </c>
      <c r="C35" s="2">
        <v>2.6</v>
      </c>
      <c r="D35" s="2" t="s">
        <v>94</v>
      </c>
      <c r="E35" s="2">
        <v>2019.0</v>
      </c>
      <c r="F35" s="2" t="s">
        <v>14</v>
      </c>
      <c r="G35" s="2">
        <v>1.09</v>
      </c>
      <c r="H35" s="9" t="s">
        <v>130</v>
      </c>
      <c r="J35" s="2" t="s">
        <v>131</v>
      </c>
      <c r="K35" s="5">
        <f>30*24*10</f>
        <v>7200</v>
      </c>
      <c r="L35" s="2" t="s">
        <v>45</v>
      </c>
    </row>
    <row r="36">
      <c r="A36" s="2" t="s">
        <v>132</v>
      </c>
      <c r="B36" s="2">
        <v>4.3</v>
      </c>
      <c r="C36" s="2">
        <v>600.0</v>
      </c>
      <c r="D36" s="2" t="s">
        <v>94</v>
      </c>
      <c r="E36" s="2">
        <v>2020.0</v>
      </c>
      <c r="F36" s="2" t="s">
        <v>14</v>
      </c>
      <c r="G36" s="2">
        <v>1.09</v>
      </c>
      <c r="H36" s="9" t="s">
        <v>130</v>
      </c>
      <c r="J36" s="2" t="s">
        <v>131</v>
      </c>
      <c r="K36" s="5">
        <f>1024*3.1*24</f>
        <v>76185.6</v>
      </c>
      <c r="L36" s="2" t="s">
        <v>45</v>
      </c>
    </row>
    <row r="37">
      <c r="A37" s="2" t="s">
        <v>133</v>
      </c>
      <c r="B37" s="2">
        <v>47.0</v>
      </c>
      <c r="C37" s="2">
        <v>11.0</v>
      </c>
      <c r="D37" s="2" t="s">
        <v>94</v>
      </c>
      <c r="E37" s="2">
        <v>2019.0</v>
      </c>
      <c r="F37" s="2" t="s">
        <v>134</v>
      </c>
      <c r="G37" s="2">
        <v>1.12</v>
      </c>
      <c r="H37" s="9" t="s">
        <v>130</v>
      </c>
      <c r="J37" s="2" t="s">
        <v>131</v>
      </c>
      <c r="K37" s="5">
        <f>512*20*24</f>
        <v>245760</v>
      </c>
      <c r="L37" s="2" t="s">
        <v>135</v>
      </c>
    </row>
    <row r="38">
      <c r="A38" s="2" t="s">
        <v>136</v>
      </c>
      <c r="B38" s="2">
        <v>59.0</v>
      </c>
      <c r="C38" s="2">
        <v>1500.0</v>
      </c>
      <c r="D38" s="2" t="s">
        <v>94</v>
      </c>
      <c r="E38" s="2">
        <v>2020.0</v>
      </c>
      <c r="F38" s="2" t="s">
        <v>14</v>
      </c>
      <c r="G38" s="2">
        <v>1.1</v>
      </c>
      <c r="H38" s="9" t="s">
        <v>130</v>
      </c>
      <c r="J38" s="2" t="s">
        <v>131</v>
      </c>
      <c r="K38" s="5">
        <f>1024*27</f>
        <v>27648</v>
      </c>
      <c r="L38" s="2" t="s">
        <v>137</v>
      </c>
    </row>
    <row r="39">
      <c r="A39" s="2" t="s">
        <v>138</v>
      </c>
      <c r="B39" s="2">
        <v>26.0</v>
      </c>
      <c r="C39" s="2">
        <v>0.065</v>
      </c>
      <c r="D39" s="2" t="s">
        <v>139</v>
      </c>
      <c r="E39" s="2">
        <v>2017.0</v>
      </c>
      <c r="F39" s="2" t="s">
        <v>14</v>
      </c>
      <c r="G39" s="2">
        <v>1.11</v>
      </c>
      <c r="H39" s="4" t="s">
        <v>140</v>
      </c>
      <c r="J39" s="2" t="s">
        <v>141</v>
      </c>
      <c r="K39" s="5">
        <f>8*12</f>
        <v>96</v>
      </c>
      <c r="L39" s="2" t="s">
        <v>45</v>
      </c>
    </row>
    <row r="40">
      <c r="A40" s="2" t="s">
        <v>142</v>
      </c>
      <c r="B40" s="2">
        <v>192.0</v>
      </c>
      <c r="C40" s="2">
        <v>0.213</v>
      </c>
      <c r="D40" s="2" t="s">
        <v>139</v>
      </c>
      <c r="E40" s="2">
        <v>2017.0</v>
      </c>
      <c r="F40" s="2" t="s">
        <v>14</v>
      </c>
      <c r="G40" s="2">
        <v>1.11</v>
      </c>
      <c r="H40" s="4" t="s">
        <v>143</v>
      </c>
      <c r="J40" s="2" t="s">
        <v>141</v>
      </c>
      <c r="K40" s="5">
        <f>8*3.5*24</f>
        <v>672</v>
      </c>
      <c r="L40" s="2" t="s">
        <v>45</v>
      </c>
    </row>
    <row r="41">
      <c r="A41" s="2" t="s">
        <v>144</v>
      </c>
      <c r="B41" s="2">
        <v>262.0</v>
      </c>
      <c r="C41" s="2">
        <v>0.0936</v>
      </c>
      <c r="D41" s="2" t="s">
        <v>139</v>
      </c>
      <c r="E41" s="2">
        <v>2018.0</v>
      </c>
      <c r="F41" s="2" t="s">
        <v>14</v>
      </c>
      <c r="G41" s="2">
        <v>1.58</v>
      </c>
      <c r="H41" s="4" t="s">
        <v>145</v>
      </c>
      <c r="J41" s="2" t="s">
        <v>146</v>
      </c>
      <c r="K41" s="2">
        <f>8*336</f>
        <v>2688</v>
      </c>
      <c r="L41" s="2" t="s">
        <v>45</v>
      </c>
    </row>
  </sheetData>
  <hyperlinks>
    <hyperlink r:id="rId1" ref="D2"/>
    <hyperlink r:id="rId2" ref="H2"/>
    <hyperlink r:id="rId3" ref="D3"/>
    <hyperlink r:id="rId4" ref="H3"/>
    <hyperlink r:id="rId5" ref="D4"/>
    <hyperlink r:id="rId6" ref="H4"/>
    <hyperlink r:id="rId7" ref="D5"/>
    <hyperlink r:id="rId8" ref="H5"/>
    <hyperlink r:id="rId9" ref="D6"/>
    <hyperlink r:id="rId10" ref="H6"/>
    <hyperlink r:id="rId11" ref="D7"/>
    <hyperlink r:id="rId12" ref="H7"/>
    <hyperlink r:id="rId13" ref="D8"/>
    <hyperlink r:id="rId14" ref="H8"/>
    <hyperlink r:id="rId15" ref="D9"/>
    <hyperlink r:id="rId16" ref="H9"/>
    <hyperlink r:id="rId17" ref="D10"/>
    <hyperlink r:id="rId18" ref="H10"/>
    <hyperlink r:id="rId19" ref="D11"/>
    <hyperlink r:id="rId20" ref="H11"/>
    <hyperlink r:id="rId21" ref="D12"/>
    <hyperlink r:id="rId22" ref="H12"/>
    <hyperlink r:id="rId23" ref="D13"/>
    <hyperlink r:id="rId24" ref="H13"/>
    <hyperlink r:id="rId25" ref="D14"/>
    <hyperlink r:id="rId26" ref="H14"/>
    <hyperlink r:id="rId27" ref="D15"/>
    <hyperlink r:id="rId28" ref="H15"/>
    <hyperlink r:id="rId29" ref="D16"/>
    <hyperlink r:id="rId30" ref="H16"/>
    <hyperlink r:id="rId31" ref="H18"/>
    <hyperlink r:id="rId32" ref="H19"/>
    <hyperlink r:id="rId33" ref="H20"/>
    <hyperlink r:id="rId34" ref="H21"/>
    <hyperlink r:id="rId35" ref="H22"/>
    <hyperlink r:id="rId36" ref="D23"/>
    <hyperlink r:id="rId37" ref="H23"/>
    <hyperlink r:id="rId38" ref="D24"/>
    <hyperlink r:id="rId39" ref="H24"/>
    <hyperlink r:id="rId40" ref="H25"/>
    <hyperlink r:id="rId41" ref="D26"/>
    <hyperlink r:id="rId42" ref="H26"/>
    <hyperlink r:id="rId43" ref="D27"/>
    <hyperlink r:id="rId44" ref="D28"/>
    <hyperlink r:id="rId45" ref="D29"/>
    <hyperlink r:id="rId46" ref="D30"/>
    <hyperlink r:id="rId47" ref="H30"/>
    <hyperlink r:id="rId48" ref="D31"/>
    <hyperlink r:id="rId49" ref="H31"/>
    <hyperlink r:id="rId50" ref="D32"/>
    <hyperlink r:id="rId51" ref="H32"/>
    <hyperlink r:id="rId52" ref="D33"/>
    <hyperlink r:id="rId53" ref="H33"/>
    <hyperlink r:id="rId54" ref="D34"/>
    <hyperlink r:id="rId55" ref="H34"/>
    <hyperlink r:id="rId56" ref="H39"/>
    <hyperlink r:id="rId57" ref="H40"/>
    <hyperlink r:id="rId58" ref="H41"/>
  </hyperlinks>
  <drawing r:id="rId5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147</v>
      </c>
      <c r="D1" s="1" t="s">
        <v>4</v>
      </c>
      <c r="E1" s="1" t="s">
        <v>5</v>
      </c>
      <c r="F1" s="1" t="s">
        <v>6</v>
      </c>
      <c r="G1" s="1" t="s">
        <v>7</v>
      </c>
      <c r="H1" s="1" t="s">
        <v>9</v>
      </c>
      <c r="I1" s="1" t="s">
        <v>148</v>
      </c>
      <c r="J1" s="1" t="s">
        <v>149</v>
      </c>
      <c r="K1" s="1" t="s">
        <v>150</v>
      </c>
      <c r="L1" s="13" t="s">
        <v>151</v>
      </c>
      <c r="M1" s="1" t="s">
        <v>10</v>
      </c>
      <c r="N1" s="1" t="s">
        <v>152</v>
      </c>
      <c r="O1" s="1" t="s">
        <v>153</v>
      </c>
      <c r="P1" s="1" t="s">
        <v>154</v>
      </c>
      <c r="Q1" s="1" t="s">
        <v>155</v>
      </c>
      <c r="R1" s="1" t="s">
        <v>156</v>
      </c>
      <c r="S1" s="1"/>
    </row>
    <row r="2">
      <c r="A2" s="2" t="s">
        <v>12</v>
      </c>
      <c r="B2" s="2">
        <v>7.0</v>
      </c>
      <c r="C2" s="3" t="s">
        <v>13</v>
      </c>
      <c r="D2" s="2">
        <v>2023.0</v>
      </c>
      <c r="E2" s="2" t="s">
        <v>14</v>
      </c>
      <c r="F2" s="2">
        <v>1.08</v>
      </c>
      <c r="G2" s="4" t="s">
        <v>157</v>
      </c>
      <c r="H2" s="2" t="s">
        <v>16</v>
      </c>
      <c r="I2" s="2">
        <v>0.2</v>
      </c>
      <c r="J2" s="9">
        <v>3.62</v>
      </c>
      <c r="K2" s="4" t="s">
        <v>158</v>
      </c>
      <c r="L2" s="14" t="s">
        <v>159</v>
      </c>
      <c r="M2" s="6">
        <v>184320.0</v>
      </c>
      <c r="N2" s="15">
        <f t="shared" ref="N2:N4" si="1">(M2*400)/1000</f>
        <v>73728</v>
      </c>
      <c r="O2" s="15">
        <f t="shared" ref="O2:O41" si="2">N2*I2</f>
        <v>14745.6</v>
      </c>
      <c r="P2" s="15">
        <f t="shared" ref="P2:P41" si="3">N2*F2*J2</f>
        <v>288246.9888</v>
      </c>
      <c r="Q2" s="15">
        <f t="shared" ref="Q2:Q41" si="4">SUM(O2:P2)</f>
        <v>302992.5888</v>
      </c>
      <c r="R2" s="15">
        <f>SUM(Q2:Q41)</f>
        <v>490297661.2</v>
      </c>
    </row>
    <row r="3">
      <c r="A3" s="2" t="s">
        <v>12</v>
      </c>
      <c r="B3" s="2">
        <v>13.0</v>
      </c>
      <c r="C3" s="3" t="s">
        <v>13</v>
      </c>
      <c r="D3" s="2">
        <v>2023.0</v>
      </c>
      <c r="E3" s="2" t="s">
        <v>14</v>
      </c>
      <c r="F3" s="2">
        <v>1.08</v>
      </c>
      <c r="G3" s="4" t="s">
        <v>160</v>
      </c>
      <c r="H3" s="2" t="s">
        <v>16</v>
      </c>
      <c r="I3" s="2">
        <v>0.2</v>
      </c>
      <c r="J3" s="9">
        <v>3.62</v>
      </c>
      <c r="K3" s="4" t="s">
        <v>161</v>
      </c>
      <c r="L3" s="14" t="s">
        <v>159</v>
      </c>
      <c r="M3" s="2">
        <v>368640.0</v>
      </c>
      <c r="N3" s="5">
        <f t="shared" si="1"/>
        <v>147456</v>
      </c>
      <c r="O3" s="5">
        <f t="shared" si="2"/>
        <v>29491.2</v>
      </c>
      <c r="P3" s="5">
        <f t="shared" si="3"/>
        <v>576493.9776</v>
      </c>
      <c r="Q3" s="5">
        <f t="shared" si="4"/>
        <v>605985.1776</v>
      </c>
    </row>
    <row r="4">
      <c r="A4" s="2" t="s">
        <v>12</v>
      </c>
      <c r="B4" s="2">
        <v>70.0</v>
      </c>
      <c r="C4" s="3" t="s">
        <v>13</v>
      </c>
      <c r="D4" s="2">
        <v>2023.0</v>
      </c>
      <c r="E4" s="2" t="s">
        <v>14</v>
      </c>
      <c r="F4" s="2">
        <v>1.08</v>
      </c>
      <c r="G4" s="4" t="s">
        <v>162</v>
      </c>
      <c r="H4" s="2" t="s">
        <v>16</v>
      </c>
      <c r="I4" s="2">
        <v>0.2</v>
      </c>
      <c r="J4" s="9">
        <v>3.62</v>
      </c>
      <c r="K4" s="4" t="s">
        <v>163</v>
      </c>
      <c r="L4" s="14" t="s">
        <v>159</v>
      </c>
      <c r="M4" s="2">
        <v>1720320.0</v>
      </c>
      <c r="N4" s="5">
        <f t="shared" si="1"/>
        <v>688128</v>
      </c>
      <c r="O4" s="5">
        <f t="shared" si="2"/>
        <v>137625.6</v>
      </c>
      <c r="P4" s="5">
        <f t="shared" si="3"/>
        <v>2690305.229</v>
      </c>
      <c r="Q4" s="5">
        <f t="shared" si="4"/>
        <v>2827930.829</v>
      </c>
    </row>
    <row r="5">
      <c r="A5" s="2" t="s">
        <v>22</v>
      </c>
      <c r="B5" s="2">
        <v>8.0</v>
      </c>
      <c r="C5" s="7" t="s">
        <v>23</v>
      </c>
      <c r="D5" s="2">
        <v>2024.0</v>
      </c>
      <c r="E5" s="2" t="s">
        <v>14</v>
      </c>
      <c r="F5" s="2">
        <v>1.08</v>
      </c>
      <c r="G5" s="4" t="s">
        <v>164</v>
      </c>
      <c r="H5" s="2" t="s">
        <v>25</v>
      </c>
      <c r="I5" s="2">
        <v>0.18</v>
      </c>
      <c r="J5" s="9">
        <v>3.94</v>
      </c>
      <c r="K5" s="4" t="s">
        <v>165</v>
      </c>
      <c r="L5" s="14" t="s">
        <v>166</v>
      </c>
      <c r="M5" s="6">
        <v>1300000.0</v>
      </c>
      <c r="N5" s="15">
        <f t="shared" ref="N5:N16" si="5">(M5*700)/1000</f>
        <v>910000</v>
      </c>
      <c r="O5" s="15">
        <f t="shared" si="2"/>
        <v>163800</v>
      </c>
      <c r="P5" s="15">
        <f t="shared" si="3"/>
        <v>3872232</v>
      </c>
      <c r="Q5" s="15">
        <f t="shared" si="4"/>
        <v>4036032</v>
      </c>
    </row>
    <row r="6">
      <c r="A6" s="2" t="s">
        <v>22</v>
      </c>
      <c r="B6" s="2">
        <v>70.0</v>
      </c>
      <c r="C6" s="7" t="s">
        <v>23</v>
      </c>
      <c r="D6" s="2">
        <v>2024.0</v>
      </c>
      <c r="E6" s="2" t="s">
        <v>14</v>
      </c>
      <c r="F6" s="2">
        <v>1.08</v>
      </c>
      <c r="G6" s="4" t="s">
        <v>167</v>
      </c>
      <c r="H6" s="2" t="s">
        <v>25</v>
      </c>
      <c r="I6" s="2">
        <v>0.18</v>
      </c>
      <c r="J6" s="9">
        <v>3.94</v>
      </c>
      <c r="K6" s="4" t="s">
        <v>168</v>
      </c>
      <c r="L6" s="14" t="s">
        <v>166</v>
      </c>
      <c r="M6" s="6">
        <v>6400000.0</v>
      </c>
      <c r="N6" s="15">
        <f t="shared" si="5"/>
        <v>4480000</v>
      </c>
      <c r="O6" s="15">
        <f t="shared" si="2"/>
        <v>806400</v>
      </c>
      <c r="P6" s="15">
        <f t="shared" si="3"/>
        <v>19063296</v>
      </c>
      <c r="Q6" s="15">
        <f t="shared" si="4"/>
        <v>19869696</v>
      </c>
    </row>
    <row r="7">
      <c r="A7" s="2" t="s">
        <v>29</v>
      </c>
      <c r="B7" s="2">
        <v>8.0</v>
      </c>
      <c r="C7" s="7" t="s">
        <v>30</v>
      </c>
      <c r="D7" s="2">
        <v>2024.0</v>
      </c>
      <c r="E7" s="2" t="s">
        <v>14</v>
      </c>
      <c r="F7" s="2">
        <v>1.08</v>
      </c>
      <c r="G7" s="4" t="s">
        <v>169</v>
      </c>
      <c r="H7" s="2" t="s">
        <v>25</v>
      </c>
      <c r="I7" s="2">
        <v>0.18</v>
      </c>
      <c r="J7" s="9">
        <v>3.94</v>
      </c>
      <c r="K7" s="4" t="s">
        <v>170</v>
      </c>
      <c r="L7" s="14" t="s">
        <v>166</v>
      </c>
      <c r="M7" s="6">
        <v>1460000.0</v>
      </c>
      <c r="N7" s="15">
        <f t="shared" si="5"/>
        <v>1022000</v>
      </c>
      <c r="O7" s="15">
        <f t="shared" si="2"/>
        <v>183960</v>
      </c>
      <c r="P7" s="15">
        <f t="shared" si="3"/>
        <v>4348814.4</v>
      </c>
      <c r="Q7" s="15">
        <f t="shared" si="4"/>
        <v>4532774.4</v>
      </c>
    </row>
    <row r="8">
      <c r="A8" s="2" t="s">
        <v>29</v>
      </c>
      <c r="B8" s="2">
        <v>70.0</v>
      </c>
      <c r="C8" s="7" t="s">
        <v>30</v>
      </c>
      <c r="D8" s="2">
        <v>2024.0</v>
      </c>
      <c r="E8" s="2" t="s">
        <v>14</v>
      </c>
      <c r="F8" s="2">
        <v>1.08</v>
      </c>
      <c r="G8" s="4" t="s">
        <v>171</v>
      </c>
      <c r="H8" s="2" t="s">
        <v>25</v>
      </c>
      <c r="I8" s="2">
        <v>0.18</v>
      </c>
      <c r="J8" s="9">
        <v>3.94</v>
      </c>
      <c r="K8" s="4" t="s">
        <v>172</v>
      </c>
      <c r="L8" s="14" t="s">
        <v>166</v>
      </c>
      <c r="M8" s="6">
        <v>7000000.0</v>
      </c>
      <c r="N8" s="15">
        <f t="shared" si="5"/>
        <v>4900000</v>
      </c>
      <c r="O8" s="15">
        <f t="shared" si="2"/>
        <v>882000</v>
      </c>
      <c r="P8" s="15">
        <f t="shared" si="3"/>
        <v>20850480</v>
      </c>
      <c r="Q8" s="15">
        <f t="shared" si="4"/>
        <v>21732480</v>
      </c>
    </row>
    <row r="9">
      <c r="A9" s="2" t="s">
        <v>29</v>
      </c>
      <c r="B9" s="2">
        <v>405.0</v>
      </c>
      <c r="C9" s="7" t="s">
        <v>30</v>
      </c>
      <c r="D9" s="2">
        <v>2024.0</v>
      </c>
      <c r="E9" s="2" t="s">
        <v>14</v>
      </c>
      <c r="F9" s="2">
        <v>1.08</v>
      </c>
      <c r="G9" s="4" t="s">
        <v>173</v>
      </c>
      <c r="H9" s="2" t="s">
        <v>25</v>
      </c>
      <c r="I9" s="2">
        <v>0.18</v>
      </c>
      <c r="J9" s="9">
        <v>3.94</v>
      </c>
      <c r="K9" s="4" t="s">
        <v>174</v>
      </c>
      <c r="L9" s="14" t="s">
        <v>166</v>
      </c>
      <c r="M9" s="6">
        <v>3.084E7</v>
      </c>
      <c r="N9" s="15">
        <f t="shared" si="5"/>
        <v>21588000</v>
      </c>
      <c r="O9" s="15">
        <f t="shared" si="2"/>
        <v>3885840</v>
      </c>
      <c r="P9" s="15">
        <f t="shared" si="3"/>
        <v>91861257.6</v>
      </c>
      <c r="Q9" s="15">
        <f t="shared" si="4"/>
        <v>95747097.6</v>
      </c>
    </row>
    <row r="10">
      <c r="A10" s="2" t="s">
        <v>37</v>
      </c>
      <c r="B10" s="2">
        <v>1.0</v>
      </c>
      <c r="C10" s="7" t="s">
        <v>38</v>
      </c>
      <c r="D10" s="2">
        <v>2024.0</v>
      </c>
      <c r="E10" s="2" t="s">
        <v>14</v>
      </c>
      <c r="F10" s="2">
        <v>1.08</v>
      </c>
      <c r="G10" s="4" t="s">
        <v>175</v>
      </c>
      <c r="H10" s="2" t="s">
        <v>25</v>
      </c>
      <c r="I10" s="2">
        <v>0.18</v>
      </c>
      <c r="J10" s="9">
        <v>3.94</v>
      </c>
      <c r="K10" s="4" t="s">
        <v>176</v>
      </c>
      <c r="L10" s="14" t="s">
        <v>166</v>
      </c>
      <c r="M10" s="8">
        <v>370000.0</v>
      </c>
      <c r="N10" s="5">
        <f t="shared" si="5"/>
        <v>259000</v>
      </c>
      <c r="O10" s="5">
        <f t="shared" si="2"/>
        <v>46620</v>
      </c>
      <c r="P10" s="5">
        <f t="shared" si="3"/>
        <v>1102096.8</v>
      </c>
      <c r="Q10" s="5">
        <f t="shared" si="4"/>
        <v>1148716.8</v>
      </c>
    </row>
    <row r="11">
      <c r="A11" s="2" t="s">
        <v>37</v>
      </c>
      <c r="B11" s="2">
        <v>3.0</v>
      </c>
      <c r="C11" s="7" t="s">
        <v>38</v>
      </c>
      <c r="D11" s="2">
        <v>2024.0</v>
      </c>
      <c r="E11" s="2" t="s">
        <v>14</v>
      </c>
      <c r="F11" s="2">
        <v>1.08</v>
      </c>
      <c r="G11" s="4" t="s">
        <v>177</v>
      </c>
      <c r="H11" s="2" t="s">
        <v>25</v>
      </c>
      <c r="I11" s="2">
        <v>0.18</v>
      </c>
      <c r="J11" s="9">
        <v>3.94</v>
      </c>
      <c r="K11" s="4" t="s">
        <v>178</v>
      </c>
      <c r="L11" s="14" t="s">
        <v>166</v>
      </c>
      <c r="M11" s="8">
        <v>460000.0</v>
      </c>
      <c r="N11" s="5">
        <f t="shared" si="5"/>
        <v>322000</v>
      </c>
      <c r="O11" s="5">
        <f t="shared" si="2"/>
        <v>57960</v>
      </c>
      <c r="P11" s="5">
        <f t="shared" si="3"/>
        <v>1370174.4</v>
      </c>
      <c r="Q11" s="5">
        <f t="shared" si="4"/>
        <v>1428134.4</v>
      </c>
    </row>
    <row r="12">
      <c r="A12" s="2" t="s">
        <v>43</v>
      </c>
      <c r="B12" s="2">
        <v>1.0</v>
      </c>
      <c r="C12" s="7" t="s">
        <v>38</v>
      </c>
      <c r="D12" s="2">
        <v>2024.0</v>
      </c>
      <c r="E12" s="2" t="s">
        <v>14</v>
      </c>
      <c r="F12" s="2">
        <v>1.08</v>
      </c>
      <c r="G12" s="4" t="s">
        <v>179</v>
      </c>
      <c r="H12" s="2" t="s">
        <v>25</v>
      </c>
      <c r="I12" s="2">
        <v>0.18</v>
      </c>
      <c r="J12" s="9">
        <v>3.94</v>
      </c>
      <c r="K12" s="4" t="s">
        <v>180</v>
      </c>
      <c r="L12" s="14" t="s">
        <v>166</v>
      </c>
      <c r="M12" s="2">
        <v>1300.0</v>
      </c>
      <c r="N12" s="5">
        <f t="shared" si="5"/>
        <v>910</v>
      </c>
      <c r="O12" s="5">
        <f t="shared" si="2"/>
        <v>163.8</v>
      </c>
      <c r="P12" s="5">
        <f t="shared" si="3"/>
        <v>3872.232</v>
      </c>
      <c r="Q12" s="5">
        <f t="shared" si="4"/>
        <v>4036.032</v>
      </c>
    </row>
    <row r="13">
      <c r="A13" s="2" t="s">
        <v>43</v>
      </c>
      <c r="B13" s="2">
        <v>3.0</v>
      </c>
      <c r="C13" s="7" t="s">
        <v>38</v>
      </c>
      <c r="D13" s="2">
        <v>2024.0</v>
      </c>
      <c r="E13" s="2" t="s">
        <v>14</v>
      </c>
      <c r="F13" s="2">
        <v>1.08</v>
      </c>
      <c r="G13" s="4" t="s">
        <v>181</v>
      </c>
      <c r="H13" s="2" t="s">
        <v>25</v>
      </c>
      <c r="I13" s="2">
        <v>0.18</v>
      </c>
      <c r="J13" s="9">
        <v>3.94</v>
      </c>
      <c r="K13" s="4" t="s">
        <v>182</v>
      </c>
      <c r="L13" s="14" t="s">
        <v>166</v>
      </c>
      <c r="M13" s="2">
        <v>1600.0</v>
      </c>
      <c r="N13" s="5">
        <f t="shared" si="5"/>
        <v>1120</v>
      </c>
      <c r="O13" s="5">
        <f t="shared" si="2"/>
        <v>201.6</v>
      </c>
      <c r="P13" s="5">
        <f t="shared" si="3"/>
        <v>4765.824</v>
      </c>
      <c r="Q13" s="5">
        <f t="shared" si="4"/>
        <v>4967.424</v>
      </c>
    </row>
    <row r="14">
      <c r="A14" s="2" t="s">
        <v>47</v>
      </c>
      <c r="B14" s="2">
        <v>70.0</v>
      </c>
      <c r="C14" s="7" t="s">
        <v>48</v>
      </c>
      <c r="D14" s="2">
        <v>2024.0</v>
      </c>
      <c r="E14" s="2" t="s">
        <v>14</v>
      </c>
      <c r="F14" s="2">
        <v>1.08</v>
      </c>
      <c r="G14" s="4" t="s">
        <v>183</v>
      </c>
      <c r="H14" s="2" t="s">
        <v>25</v>
      </c>
      <c r="I14" s="2">
        <v>0.18</v>
      </c>
      <c r="J14" s="9">
        <v>3.94</v>
      </c>
      <c r="K14" s="4" t="s">
        <v>184</v>
      </c>
      <c r="L14" s="14" t="s">
        <v>166</v>
      </c>
      <c r="M14" s="6">
        <v>7000000.0</v>
      </c>
      <c r="N14" s="15">
        <f t="shared" si="5"/>
        <v>4900000</v>
      </c>
      <c r="O14" s="15">
        <f t="shared" si="2"/>
        <v>882000</v>
      </c>
      <c r="P14" s="15">
        <f t="shared" si="3"/>
        <v>20850480</v>
      </c>
      <c r="Q14" s="15">
        <f t="shared" si="4"/>
        <v>21732480</v>
      </c>
    </row>
    <row r="15">
      <c r="A15" s="2" t="s">
        <v>51</v>
      </c>
      <c r="B15" s="2">
        <v>109.0</v>
      </c>
      <c r="C15" s="7" t="s">
        <v>52</v>
      </c>
      <c r="D15" s="2">
        <v>2025.0</v>
      </c>
      <c r="E15" s="2" t="s">
        <v>14</v>
      </c>
      <c r="F15" s="2">
        <v>1.08</v>
      </c>
      <c r="G15" s="4" t="s">
        <v>185</v>
      </c>
      <c r="H15" s="2" t="s">
        <v>25</v>
      </c>
      <c r="I15" s="2">
        <v>0.18</v>
      </c>
      <c r="J15" s="9">
        <v>3.94</v>
      </c>
      <c r="K15" s="4" t="s">
        <v>186</v>
      </c>
      <c r="L15" s="14" t="s">
        <v>166</v>
      </c>
      <c r="M15" s="6">
        <v>5000000.0</v>
      </c>
      <c r="N15" s="15">
        <f t="shared" si="5"/>
        <v>3500000</v>
      </c>
      <c r="O15" s="15">
        <f t="shared" si="2"/>
        <v>630000</v>
      </c>
      <c r="P15" s="15">
        <f t="shared" si="3"/>
        <v>14893200</v>
      </c>
      <c r="Q15" s="15">
        <f t="shared" si="4"/>
        <v>15523200</v>
      </c>
    </row>
    <row r="16">
      <c r="A16" s="2" t="s">
        <v>55</v>
      </c>
      <c r="B16" s="2">
        <v>400.0</v>
      </c>
      <c r="C16" s="7" t="s">
        <v>52</v>
      </c>
      <c r="D16" s="2">
        <v>2025.0</v>
      </c>
      <c r="E16" s="2" t="s">
        <v>14</v>
      </c>
      <c r="F16" s="2">
        <v>1.08</v>
      </c>
      <c r="G16" s="4" t="s">
        <v>187</v>
      </c>
      <c r="H16" s="2" t="s">
        <v>25</v>
      </c>
      <c r="I16" s="2">
        <v>0.18</v>
      </c>
      <c r="J16" s="9">
        <v>3.94</v>
      </c>
      <c r="K16" s="4" t="s">
        <v>188</v>
      </c>
      <c r="L16" s="14" t="s">
        <v>166</v>
      </c>
      <c r="M16" s="6">
        <v>2380000.0</v>
      </c>
      <c r="N16" s="15">
        <f t="shared" si="5"/>
        <v>1666000</v>
      </c>
      <c r="O16" s="15">
        <f t="shared" si="2"/>
        <v>299880</v>
      </c>
      <c r="P16" s="15">
        <f t="shared" si="3"/>
        <v>7089163.2</v>
      </c>
      <c r="Q16" s="15">
        <f t="shared" si="4"/>
        <v>7389043.2</v>
      </c>
    </row>
    <row r="17">
      <c r="A17" s="2" t="s">
        <v>58</v>
      </c>
      <c r="B17" s="2">
        <v>15.5</v>
      </c>
      <c r="C17" s="2" t="s">
        <v>59</v>
      </c>
      <c r="D17" s="2">
        <v>2023.0</v>
      </c>
      <c r="E17" s="2" t="s">
        <v>60</v>
      </c>
      <c r="F17" s="2">
        <v>1.2</v>
      </c>
      <c r="G17" s="9" t="s">
        <v>61</v>
      </c>
      <c r="H17" s="2" t="s">
        <v>25</v>
      </c>
      <c r="I17" s="2">
        <v>0.16</v>
      </c>
      <c r="J17" s="9">
        <v>9.5</v>
      </c>
      <c r="K17" s="4" t="s">
        <v>189</v>
      </c>
      <c r="L17" s="14" t="s">
        <v>190</v>
      </c>
      <c r="M17" s="8">
        <v>320256.0</v>
      </c>
      <c r="N17" s="5">
        <f>(M17*280)/1000</f>
        <v>89671.68</v>
      </c>
      <c r="O17" s="5">
        <f t="shared" si="2"/>
        <v>14347.4688</v>
      </c>
      <c r="P17" s="5">
        <f t="shared" si="3"/>
        <v>1022257.152</v>
      </c>
      <c r="Q17" s="5">
        <f t="shared" si="4"/>
        <v>1036604.621</v>
      </c>
    </row>
    <row r="18">
      <c r="A18" s="2" t="s">
        <v>63</v>
      </c>
      <c r="B18" s="2">
        <v>3.0</v>
      </c>
      <c r="C18" s="2" t="s">
        <v>64</v>
      </c>
      <c r="D18" s="2">
        <v>2024.0</v>
      </c>
      <c r="E18" s="2" t="s">
        <v>60</v>
      </c>
      <c r="F18" s="2">
        <v>1.15</v>
      </c>
      <c r="G18" s="4" t="s">
        <v>191</v>
      </c>
      <c r="H18" s="2" t="s">
        <v>25</v>
      </c>
      <c r="I18" s="2">
        <v>0.15</v>
      </c>
      <c r="J18" s="9">
        <v>7.02</v>
      </c>
      <c r="K18" s="4" t="s">
        <v>192</v>
      </c>
      <c r="L18" s="14" t="s">
        <v>193</v>
      </c>
      <c r="M18" s="8">
        <v>97120.0</v>
      </c>
      <c r="N18" s="5">
        <f>(M18*400)/1000</f>
        <v>38848</v>
      </c>
      <c r="O18" s="5">
        <f t="shared" si="2"/>
        <v>5827.2</v>
      </c>
      <c r="P18" s="5">
        <f t="shared" si="3"/>
        <v>313619.904</v>
      </c>
      <c r="Q18" s="5">
        <f t="shared" si="4"/>
        <v>319447.104</v>
      </c>
    </row>
    <row r="19">
      <c r="A19" s="2" t="s">
        <v>63</v>
      </c>
      <c r="B19" s="2">
        <v>7.0</v>
      </c>
      <c r="C19" s="2" t="s">
        <v>64</v>
      </c>
      <c r="D19" s="2">
        <v>2024.0</v>
      </c>
      <c r="E19" s="2" t="s">
        <v>60</v>
      </c>
      <c r="F19" s="2">
        <v>1.15</v>
      </c>
      <c r="G19" s="4" t="s">
        <v>194</v>
      </c>
      <c r="H19" s="2" t="s">
        <v>25</v>
      </c>
      <c r="I19" s="2">
        <v>0.15</v>
      </c>
      <c r="J19" s="9">
        <v>7.02</v>
      </c>
      <c r="K19" s="4" t="s">
        <v>195</v>
      </c>
      <c r="L19" s="14" t="s">
        <v>193</v>
      </c>
      <c r="M19" s="8">
        <f>145152+1601.23</f>
        <v>146753.23</v>
      </c>
      <c r="N19" s="5">
        <f>(M19*660)/1000</f>
        <v>96857.1318</v>
      </c>
      <c r="O19" s="5">
        <f t="shared" si="2"/>
        <v>14528.56977</v>
      </c>
      <c r="P19" s="5">
        <f t="shared" si="3"/>
        <v>781927.625</v>
      </c>
      <c r="Q19" s="5">
        <f t="shared" si="4"/>
        <v>796456.1948</v>
      </c>
    </row>
    <row r="20">
      <c r="A20" s="2" t="s">
        <v>69</v>
      </c>
      <c r="B20" s="2">
        <v>176.0</v>
      </c>
      <c r="C20" s="2" t="s">
        <v>196</v>
      </c>
      <c r="D20" s="2">
        <v>2022.0</v>
      </c>
      <c r="E20" s="2" t="s">
        <v>71</v>
      </c>
      <c r="F20" s="2">
        <v>1.55</v>
      </c>
      <c r="G20" s="4" t="s">
        <v>197</v>
      </c>
      <c r="H20" s="2" t="s">
        <v>16</v>
      </c>
      <c r="I20" s="2">
        <v>0.25</v>
      </c>
      <c r="J20" s="9">
        <v>3.67</v>
      </c>
      <c r="K20" s="4" t="s">
        <v>198</v>
      </c>
      <c r="L20" s="14" t="s">
        <v>199</v>
      </c>
      <c r="M20" s="8">
        <v>1082990.0</v>
      </c>
      <c r="N20" s="8">
        <f>(M20*400)/1000</f>
        <v>433196</v>
      </c>
      <c r="O20" s="5">
        <f t="shared" si="2"/>
        <v>108299</v>
      </c>
      <c r="P20" s="5">
        <f t="shared" si="3"/>
        <v>2464235.446</v>
      </c>
      <c r="Q20" s="5">
        <f t="shared" si="4"/>
        <v>2572534.446</v>
      </c>
    </row>
    <row r="21">
      <c r="A21" s="2" t="s">
        <v>74</v>
      </c>
      <c r="B21" s="2">
        <v>0.11</v>
      </c>
      <c r="C21" s="2" t="s">
        <v>75</v>
      </c>
      <c r="D21" s="2">
        <v>2018.0</v>
      </c>
      <c r="E21" s="2" t="s">
        <v>14</v>
      </c>
      <c r="F21" s="2">
        <v>1.58</v>
      </c>
      <c r="G21" s="4" t="s">
        <v>200</v>
      </c>
      <c r="H21" s="2" t="s">
        <v>77</v>
      </c>
      <c r="I21" s="2">
        <v>1.8</v>
      </c>
      <c r="J21" s="9">
        <v>4.81</v>
      </c>
      <c r="K21" s="4" t="s">
        <v>201</v>
      </c>
      <c r="L21" s="14" t="s">
        <v>202</v>
      </c>
      <c r="M21" s="2">
        <f>8*12</f>
        <v>96</v>
      </c>
      <c r="N21" s="5">
        <f>1507/1.58</f>
        <v>953.7974684</v>
      </c>
      <c r="O21" s="5">
        <f t="shared" si="2"/>
        <v>1716.835443</v>
      </c>
      <c r="P21" s="5">
        <f t="shared" si="3"/>
        <v>7248.67</v>
      </c>
      <c r="Q21" s="5">
        <f t="shared" si="4"/>
        <v>8965.505443</v>
      </c>
    </row>
    <row r="22">
      <c r="A22" s="2" t="s">
        <v>79</v>
      </c>
      <c r="B22" s="2">
        <v>65.0</v>
      </c>
      <c r="C22" s="2" t="s">
        <v>80</v>
      </c>
      <c r="D22" s="2">
        <v>2024.0</v>
      </c>
      <c r="E22" s="2" t="s">
        <v>81</v>
      </c>
      <c r="F22" s="2">
        <v>1.5</v>
      </c>
      <c r="G22" s="4" t="s">
        <v>203</v>
      </c>
      <c r="H22" s="2" t="s">
        <v>83</v>
      </c>
      <c r="I22" s="2">
        <v>1.8</v>
      </c>
      <c r="J22" s="9">
        <v>4.81</v>
      </c>
      <c r="K22" s="4" t="s">
        <v>204</v>
      </c>
      <c r="L22" s="14" t="s">
        <v>202</v>
      </c>
      <c r="M22" s="5">
        <f>480*(100*24)</f>
        <v>1152000</v>
      </c>
      <c r="N22" s="5">
        <f>(M22*340)/1000</f>
        <v>391680</v>
      </c>
      <c r="O22" s="5">
        <f t="shared" si="2"/>
        <v>705024</v>
      </c>
      <c r="P22" s="5">
        <f t="shared" si="3"/>
        <v>2825971.2</v>
      </c>
      <c r="Q22" s="5">
        <f t="shared" si="4"/>
        <v>3530995.2</v>
      </c>
    </row>
    <row r="23">
      <c r="A23" s="2" t="s">
        <v>85</v>
      </c>
      <c r="B23" s="2">
        <v>0.082</v>
      </c>
      <c r="C23" s="7" t="s">
        <v>86</v>
      </c>
      <c r="D23" s="2">
        <v>2019.0</v>
      </c>
      <c r="E23" s="2" t="s">
        <v>14</v>
      </c>
      <c r="F23" s="2">
        <v>1.17</v>
      </c>
      <c r="G23" s="4" t="s">
        <v>205</v>
      </c>
      <c r="H23" s="2" t="s">
        <v>77</v>
      </c>
      <c r="I23" s="2">
        <v>0.55</v>
      </c>
      <c r="J23" s="9">
        <v>2.385</v>
      </c>
      <c r="K23" s="4" t="s">
        <v>206</v>
      </c>
      <c r="L23" s="14" t="s">
        <v>207</v>
      </c>
      <c r="M23" s="2">
        <f>8*168</f>
        <v>1344</v>
      </c>
      <c r="N23" s="5">
        <f>(M23*300)/1000</f>
        <v>403.2</v>
      </c>
      <c r="O23" s="5">
        <f t="shared" si="2"/>
        <v>221.76</v>
      </c>
      <c r="P23" s="5">
        <f t="shared" si="3"/>
        <v>1125.10944</v>
      </c>
      <c r="Q23" s="5">
        <f t="shared" si="4"/>
        <v>1346.86944</v>
      </c>
    </row>
    <row r="24">
      <c r="A24" s="2" t="s">
        <v>89</v>
      </c>
      <c r="B24" s="2">
        <v>1.5</v>
      </c>
      <c r="C24" s="4" t="s">
        <v>208</v>
      </c>
      <c r="D24" s="2">
        <v>2025.0</v>
      </c>
      <c r="E24" s="2" t="s">
        <v>14</v>
      </c>
      <c r="F24" s="2">
        <v>1.5</v>
      </c>
      <c r="G24" s="4" t="s">
        <v>209</v>
      </c>
      <c r="H24" s="2" t="s">
        <v>83</v>
      </c>
      <c r="I24" s="2">
        <v>1.8</v>
      </c>
      <c r="J24" s="9">
        <v>4.81</v>
      </c>
      <c r="K24" s="4" t="s">
        <v>210</v>
      </c>
      <c r="L24" s="14" t="s">
        <v>202</v>
      </c>
      <c r="M24" s="8">
        <v>3800.0</v>
      </c>
      <c r="N24" s="5">
        <f>(M24*400)/1000</f>
        <v>1520</v>
      </c>
      <c r="O24" s="5">
        <f t="shared" si="2"/>
        <v>2736</v>
      </c>
      <c r="P24" s="5">
        <f t="shared" si="3"/>
        <v>10966.8</v>
      </c>
      <c r="Q24" s="5">
        <f t="shared" si="4"/>
        <v>13702.8</v>
      </c>
    </row>
    <row r="25">
      <c r="A25" s="2" t="s">
        <v>93</v>
      </c>
      <c r="B25" s="2">
        <v>175.0</v>
      </c>
      <c r="C25" s="9" t="s">
        <v>94</v>
      </c>
      <c r="D25" s="2">
        <v>2020.0</v>
      </c>
      <c r="E25" s="2" t="s">
        <v>14</v>
      </c>
      <c r="F25" s="2">
        <v>1.18</v>
      </c>
      <c r="G25" s="4" t="s">
        <v>211</v>
      </c>
      <c r="H25" s="2" t="s">
        <v>77</v>
      </c>
      <c r="I25" s="2">
        <v>0.49</v>
      </c>
      <c r="J25" s="9">
        <v>3.64</v>
      </c>
      <c r="K25" s="4" t="s">
        <v>212</v>
      </c>
      <c r="L25" s="14" t="s">
        <v>213</v>
      </c>
      <c r="M25" s="5">
        <f>10000*(14.8*24)</f>
        <v>3552000</v>
      </c>
      <c r="N25" s="6">
        <f>(M25*325)/1000</f>
        <v>1154400</v>
      </c>
      <c r="O25" s="15">
        <f t="shared" si="2"/>
        <v>565656</v>
      </c>
      <c r="P25" s="15">
        <f t="shared" si="3"/>
        <v>4958378.88</v>
      </c>
      <c r="Q25" s="15">
        <f t="shared" si="4"/>
        <v>5524034.88</v>
      </c>
    </row>
    <row r="26">
      <c r="A26" s="2" t="s">
        <v>96</v>
      </c>
      <c r="B26" s="2">
        <v>1800.0</v>
      </c>
      <c r="C26" s="7" t="s">
        <v>214</v>
      </c>
      <c r="D26" s="2">
        <v>2023.0</v>
      </c>
      <c r="E26" s="2" t="s">
        <v>14</v>
      </c>
      <c r="F26" s="2">
        <v>1.16</v>
      </c>
      <c r="G26" s="4" t="s">
        <v>215</v>
      </c>
      <c r="H26" s="2" t="s">
        <v>83</v>
      </c>
      <c r="I26" s="2">
        <v>0.3</v>
      </c>
      <c r="J26" s="9">
        <v>3.64</v>
      </c>
      <c r="K26" s="4" t="s">
        <v>216</v>
      </c>
      <c r="L26" s="14" t="s">
        <v>213</v>
      </c>
      <c r="M26" s="5">
        <f>2600*3125</f>
        <v>8125000</v>
      </c>
      <c r="N26" s="5">
        <f>(M26*6500)/1000</f>
        <v>52812500</v>
      </c>
      <c r="O26" s="5">
        <f t="shared" si="2"/>
        <v>15843750</v>
      </c>
      <c r="P26" s="5">
        <f t="shared" si="3"/>
        <v>222995500</v>
      </c>
      <c r="Q26" s="5">
        <f t="shared" si="4"/>
        <v>238839250</v>
      </c>
    </row>
    <row r="27">
      <c r="A27" s="2" t="s">
        <v>99</v>
      </c>
      <c r="B27" s="2">
        <v>685.0</v>
      </c>
      <c r="C27" s="4" t="s">
        <v>217</v>
      </c>
      <c r="D27" s="2">
        <v>2025.0</v>
      </c>
      <c r="E27" s="2" t="s">
        <v>101</v>
      </c>
      <c r="F27" s="2">
        <v>1.5</v>
      </c>
      <c r="G27" s="2" t="s">
        <v>102</v>
      </c>
      <c r="H27" s="2" t="s">
        <v>103</v>
      </c>
      <c r="I27" s="2">
        <v>1.8</v>
      </c>
      <c r="J27" s="9">
        <v>6.02</v>
      </c>
      <c r="K27" s="4" t="s">
        <v>218</v>
      </c>
      <c r="L27" s="14" t="s">
        <v>219</v>
      </c>
      <c r="M27" s="5">
        <f>64*8*198</f>
        <v>101376</v>
      </c>
      <c r="N27" s="5">
        <f t="shared" ref="N27:N31" si="6">(M27*700)/1000</f>
        <v>70963.2</v>
      </c>
      <c r="O27" s="5">
        <f t="shared" si="2"/>
        <v>127733.76</v>
      </c>
      <c r="P27" s="5">
        <f t="shared" si="3"/>
        <v>640797.696</v>
      </c>
      <c r="Q27" s="5">
        <f t="shared" si="4"/>
        <v>768531.456</v>
      </c>
    </row>
    <row r="28">
      <c r="A28" s="2" t="s">
        <v>105</v>
      </c>
      <c r="B28" s="2">
        <v>671.0</v>
      </c>
      <c r="C28" s="4" t="s">
        <v>220</v>
      </c>
      <c r="D28" s="2">
        <v>2025.0</v>
      </c>
      <c r="E28" s="2" t="s">
        <v>101</v>
      </c>
      <c r="F28" s="2">
        <v>1.5</v>
      </c>
      <c r="G28" s="2" t="s">
        <v>102</v>
      </c>
      <c r="H28" s="2" t="s">
        <v>103</v>
      </c>
      <c r="I28" s="2">
        <v>1.8</v>
      </c>
      <c r="J28" s="9">
        <v>6.02</v>
      </c>
      <c r="K28" s="4" t="s">
        <v>221</v>
      </c>
      <c r="L28" s="14" t="s">
        <v>219</v>
      </c>
      <c r="M28" s="5">
        <f>80*512</f>
        <v>40960</v>
      </c>
      <c r="N28" s="5">
        <f t="shared" si="6"/>
        <v>28672</v>
      </c>
      <c r="O28" s="5">
        <f t="shared" si="2"/>
        <v>51609.6</v>
      </c>
      <c r="P28" s="5">
        <f t="shared" si="3"/>
        <v>258908.16</v>
      </c>
      <c r="Q28" s="5">
        <f t="shared" si="4"/>
        <v>310517.76</v>
      </c>
    </row>
    <row r="29">
      <c r="A29" s="2" t="s">
        <v>108</v>
      </c>
      <c r="B29" s="2">
        <v>671.0</v>
      </c>
      <c r="C29" s="2" t="s">
        <v>222</v>
      </c>
      <c r="D29" s="2">
        <v>2024.0</v>
      </c>
      <c r="E29" s="2" t="s">
        <v>101</v>
      </c>
      <c r="F29" s="2">
        <v>1.5</v>
      </c>
      <c r="G29" s="2" t="s">
        <v>102</v>
      </c>
      <c r="H29" s="2" t="s">
        <v>103</v>
      </c>
      <c r="I29" s="2">
        <v>1.8</v>
      </c>
      <c r="J29" s="9">
        <v>6.02</v>
      </c>
      <c r="K29" s="4" t="s">
        <v>223</v>
      </c>
      <c r="L29" s="14" t="s">
        <v>219</v>
      </c>
      <c r="M29" s="8">
        <v>2788000.0</v>
      </c>
      <c r="N29" s="5">
        <f t="shared" si="6"/>
        <v>1951600</v>
      </c>
      <c r="O29" s="5">
        <f t="shared" si="2"/>
        <v>3512880</v>
      </c>
      <c r="P29" s="5">
        <f t="shared" si="3"/>
        <v>17622948</v>
      </c>
      <c r="Q29" s="5">
        <f t="shared" si="4"/>
        <v>21135828</v>
      </c>
    </row>
    <row r="30">
      <c r="A30" s="2" t="s">
        <v>111</v>
      </c>
      <c r="B30" s="2">
        <v>15.0</v>
      </c>
      <c r="C30" s="7" t="s">
        <v>112</v>
      </c>
      <c r="D30" s="2">
        <v>2024.0</v>
      </c>
      <c r="E30" s="2" t="s">
        <v>14</v>
      </c>
      <c r="F30" s="2">
        <v>1.16</v>
      </c>
      <c r="G30" s="4" t="s">
        <v>224</v>
      </c>
      <c r="H30" s="2" t="s">
        <v>25</v>
      </c>
      <c r="I30" s="2">
        <v>0.34</v>
      </c>
      <c r="J30" s="9">
        <v>3.64</v>
      </c>
      <c r="K30" s="4" t="s">
        <v>225</v>
      </c>
      <c r="L30" s="14" t="s">
        <v>226</v>
      </c>
      <c r="M30" s="5">
        <f>1920*21*24</f>
        <v>967680</v>
      </c>
      <c r="N30" s="5">
        <f t="shared" si="6"/>
        <v>677376</v>
      </c>
      <c r="O30" s="5">
        <f t="shared" si="2"/>
        <v>230307.84</v>
      </c>
      <c r="P30" s="5">
        <f t="shared" si="3"/>
        <v>2860152.422</v>
      </c>
      <c r="Q30" s="5">
        <f t="shared" si="4"/>
        <v>3090460.262</v>
      </c>
    </row>
    <row r="31">
      <c r="A31" s="2" t="s">
        <v>115</v>
      </c>
      <c r="B31" s="2">
        <v>3.8</v>
      </c>
      <c r="C31" s="7" t="s">
        <v>116</v>
      </c>
      <c r="D31" s="2">
        <v>2024.0</v>
      </c>
      <c r="E31" s="2" t="s">
        <v>14</v>
      </c>
      <c r="F31" s="2">
        <v>1.16</v>
      </c>
      <c r="G31" s="4" t="s">
        <v>227</v>
      </c>
      <c r="H31" s="2" t="s">
        <v>25</v>
      </c>
      <c r="I31" s="2">
        <v>0.3</v>
      </c>
      <c r="J31" s="9">
        <v>3.64</v>
      </c>
      <c r="K31" s="4" t="s">
        <v>228</v>
      </c>
      <c r="L31" s="14" t="s">
        <v>226</v>
      </c>
      <c r="M31" s="5">
        <f>512*10*24</f>
        <v>122880</v>
      </c>
      <c r="N31" s="5">
        <f t="shared" si="6"/>
        <v>86016</v>
      </c>
      <c r="O31" s="5">
        <f t="shared" si="2"/>
        <v>25804.8</v>
      </c>
      <c r="P31" s="5">
        <f t="shared" si="3"/>
        <v>363193.9584</v>
      </c>
      <c r="Q31" s="5">
        <f t="shared" si="4"/>
        <v>388998.7584</v>
      </c>
    </row>
    <row r="32">
      <c r="A32" s="2" t="s">
        <v>119</v>
      </c>
      <c r="B32" s="2">
        <v>3.0</v>
      </c>
      <c r="C32" s="4" t="s">
        <v>120</v>
      </c>
      <c r="D32" s="2">
        <v>2023.0</v>
      </c>
      <c r="E32" s="2" t="s">
        <v>14</v>
      </c>
      <c r="F32" s="2">
        <v>1.16</v>
      </c>
      <c r="G32" s="4" t="s">
        <v>229</v>
      </c>
      <c r="H32" s="2" t="s">
        <v>83</v>
      </c>
      <c r="I32" s="2">
        <v>0.3</v>
      </c>
      <c r="J32" s="9">
        <v>3.64</v>
      </c>
      <c r="K32" s="4" t="s">
        <v>230</v>
      </c>
      <c r="L32" s="14" t="s">
        <v>226</v>
      </c>
      <c r="M32" s="5">
        <f>96*14*24</f>
        <v>32256</v>
      </c>
      <c r="N32" s="5">
        <f>(M32*400)/1000</f>
        <v>12902.4</v>
      </c>
      <c r="O32" s="5">
        <f t="shared" si="2"/>
        <v>3870.72</v>
      </c>
      <c r="P32" s="5">
        <f t="shared" si="3"/>
        <v>54479.09376</v>
      </c>
      <c r="Q32" s="5">
        <f t="shared" si="4"/>
        <v>58349.81376</v>
      </c>
    </row>
    <row r="33">
      <c r="A33" s="2" t="s">
        <v>123</v>
      </c>
      <c r="B33" s="2">
        <v>20.0</v>
      </c>
      <c r="C33" s="7" t="s">
        <v>124</v>
      </c>
      <c r="D33" s="2">
        <v>2025.0</v>
      </c>
      <c r="E33" s="2" t="s">
        <v>14</v>
      </c>
      <c r="F33" s="2">
        <v>1.5</v>
      </c>
      <c r="G33" s="4" t="s">
        <v>231</v>
      </c>
      <c r="H33" s="2" t="s">
        <v>25</v>
      </c>
      <c r="I33" s="2">
        <v>1.8</v>
      </c>
      <c r="J33" s="9">
        <v>4.81</v>
      </c>
      <c r="K33" s="4" t="s">
        <v>232</v>
      </c>
      <c r="L33" s="14" t="s">
        <v>202</v>
      </c>
      <c r="M33" s="6">
        <v>210000.0</v>
      </c>
      <c r="N33" s="15">
        <f t="shared" ref="N33:N34" si="7">(M33*700)/1000</f>
        <v>147000</v>
      </c>
      <c r="O33" s="15">
        <f t="shared" si="2"/>
        <v>264600</v>
      </c>
      <c r="P33" s="15">
        <f t="shared" si="3"/>
        <v>1060605</v>
      </c>
      <c r="Q33" s="15">
        <f t="shared" si="4"/>
        <v>1325205</v>
      </c>
    </row>
    <row r="34">
      <c r="A34" s="2" t="s">
        <v>123</v>
      </c>
      <c r="B34" s="2">
        <v>117.0</v>
      </c>
      <c r="C34" s="7" t="s">
        <v>124</v>
      </c>
      <c r="D34" s="2">
        <v>2025.0</v>
      </c>
      <c r="E34" s="2" t="s">
        <v>14</v>
      </c>
      <c r="F34" s="2">
        <v>1.5</v>
      </c>
      <c r="G34" s="4" t="s">
        <v>233</v>
      </c>
      <c r="H34" s="2" t="s">
        <v>25</v>
      </c>
      <c r="I34" s="2">
        <v>1.8</v>
      </c>
      <c r="J34" s="9">
        <v>4.81</v>
      </c>
      <c r="K34" s="4" t="s">
        <v>234</v>
      </c>
      <c r="L34" s="14" t="s">
        <v>202</v>
      </c>
      <c r="M34" s="6">
        <v>2100000.0</v>
      </c>
      <c r="N34" s="15">
        <f t="shared" si="7"/>
        <v>1470000</v>
      </c>
      <c r="O34" s="15">
        <f t="shared" si="2"/>
        <v>2646000</v>
      </c>
      <c r="P34" s="15">
        <f t="shared" si="3"/>
        <v>10606050</v>
      </c>
      <c r="Q34" s="15">
        <f t="shared" si="4"/>
        <v>13252050</v>
      </c>
    </row>
    <row r="35">
      <c r="A35" s="2" t="s">
        <v>129</v>
      </c>
      <c r="B35" s="2">
        <v>2.6</v>
      </c>
      <c r="C35" s="2" t="s">
        <v>94</v>
      </c>
      <c r="D35" s="2">
        <v>2019.0</v>
      </c>
      <c r="E35" s="2" t="s">
        <v>14</v>
      </c>
      <c r="F35" s="2">
        <v>1.09</v>
      </c>
      <c r="G35" s="9" t="s">
        <v>130</v>
      </c>
      <c r="H35" s="2" t="s">
        <v>131</v>
      </c>
      <c r="I35" s="2">
        <v>1.8</v>
      </c>
      <c r="J35" s="9">
        <v>2.31</v>
      </c>
      <c r="K35" s="4" t="s">
        <v>235</v>
      </c>
      <c r="L35" s="14" t="s">
        <v>236</v>
      </c>
      <c r="M35" s="5">
        <f>30*24*10</f>
        <v>7200</v>
      </c>
      <c r="N35" s="5">
        <f t="shared" ref="N35:N37" si="8">(M35*283)/1000</f>
        <v>2037.6</v>
      </c>
      <c r="O35" s="5">
        <f t="shared" si="2"/>
        <v>3667.68</v>
      </c>
      <c r="P35" s="5">
        <f t="shared" si="3"/>
        <v>5130.47304</v>
      </c>
      <c r="Q35" s="5">
        <f t="shared" si="4"/>
        <v>8798.15304</v>
      </c>
    </row>
    <row r="36">
      <c r="A36" s="2" t="s">
        <v>132</v>
      </c>
      <c r="B36" s="2">
        <v>600.0</v>
      </c>
      <c r="C36" s="2" t="s">
        <v>94</v>
      </c>
      <c r="D36" s="2">
        <v>2020.0</v>
      </c>
      <c r="E36" s="2" t="s">
        <v>14</v>
      </c>
      <c r="F36" s="2">
        <v>1.09</v>
      </c>
      <c r="G36" s="9" t="s">
        <v>130</v>
      </c>
      <c r="H36" s="2" t="s">
        <v>131</v>
      </c>
      <c r="I36" s="2">
        <v>1.8</v>
      </c>
      <c r="J36" s="9">
        <v>2.39</v>
      </c>
      <c r="K36" s="4" t="s">
        <v>237</v>
      </c>
      <c r="L36" s="14" t="s">
        <v>238</v>
      </c>
      <c r="M36" s="5">
        <f>1024*3.1*24</f>
        <v>76185.6</v>
      </c>
      <c r="N36" s="5">
        <f t="shared" si="8"/>
        <v>21560.5248</v>
      </c>
      <c r="O36" s="5">
        <f t="shared" si="2"/>
        <v>38808.94464</v>
      </c>
      <c r="P36" s="5">
        <f t="shared" si="3"/>
        <v>56167.32316</v>
      </c>
      <c r="Q36" s="5">
        <f t="shared" si="4"/>
        <v>94976.2678</v>
      </c>
    </row>
    <row r="37">
      <c r="A37" s="2" t="s">
        <v>133</v>
      </c>
      <c r="B37" s="2">
        <v>11.0</v>
      </c>
      <c r="C37" s="2" t="s">
        <v>94</v>
      </c>
      <c r="D37" s="2">
        <v>2019.0</v>
      </c>
      <c r="E37" s="2" t="s">
        <v>134</v>
      </c>
      <c r="F37" s="2">
        <v>1.12</v>
      </c>
      <c r="G37" s="9" t="s">
        <v>130</v>
      </c>
      <c r="H37" s="2" t="s">
        <v>131</v>
      </c>
      <c r="I37" s="2">
        <v>1.8</v>
      </c>
      <c r="J37" s="9">
        <v>2.18</v>
      </c>
      <c r="K37" s="4" t="s">
        <v>239</v>
      </c>
      <c r="L37" s="14" t="s">
        <v>240</v>
      </c>
      <c r="M37" s="5">
        <f>512*20*24</f>
        <v>245760</v>
      </c>
      <c r="N37" s="5">
        <f t="shared" si="8"/>
        <v>69550.08</v>
      </c>
      <c r="O37" s="5">
        <f t="shared" si="2"/>
        <v>125190.144</v>
      </c>
      <c r="P37" s="5">
        <f t="shared" si="3"/>
        <v>169813.4753</v>
      </c>
      <c r="Q37" s="5">
        <f t="shared" si="4"/>
        <v>295003.6193</v>
      </c>
    </row>
    <row r="38">
      <c r="A38" s="2" t="s">
        <v>136</v>
      </c>
      <c r="B38" s="2">
        <v>1500.0</v>
      </c>
      <c r="C38" s="2" t="s">
        <v>94</v>
      </c>
      <c r="D38" s="2">
        <v>2020.0</v>
      </c>
      <c r="E38" s="2" t="s">
        <v>14</v>
      </c>
      <c r="F38" s="2">
        <v>1.1</v>
      </c>
      <c r="G38" s="9" t="s">
        <v>130</v>
      </c>
      <c r="H38" s="2" t="s">
        <v>131</v>
      </c>
      <c r="I38" s="2">
        <v>1.8</v>
      </c>
      <c r="J38" s="9">
        <v>2.31</v>
      </c>
      <c r="K38" s="4" t="s">
        <v>241</v>
      </c>
      <c r="L38" s="14" t="s">
        <v>242</v>
      </c>
      <c r="M38" s="5">
        <f>1024*27</f>
        <v>27648</v>
      </c>
      <c r="N38" s="5">
        <f>(M38*271)/1000</f>
        <v>7492.608</v>
      </c>
      <c r="O38" s="5">
        <f t="shared" si="2"/>
        <v>13486.6944</v>
      </c>
      <c r="P38" s="5">
        <f t="shared" si="3"/>
        <v>19038.71693</v>
      </c>
      <c r="Q38" s="5">
        <f t="shared" si="4"/>
        <v>32525.41133</v>
      </c>
    </row>
    <row r="39">
      <c r="A39" s="2" t="s">
        <v>138</v>
      </c>
      <c r="B39" s="2">
        <v>0.065</v>
      </c>
      <c r="C39" s="2" t="s">
        <v>139</v>
      </c>
      <c r="D39" s="2">
        <v>2017.0</v>
      </c>
      <c r="E39" s="2" t="s">
        <v>14</v>
      </c>
      <c r="F39" s="2">
        <v>1.11</v>
      </c>
      <c r="G39" s="4" t="s">
        <v>243</v>
      </c>
      <c r="H39" s="2" t="s">
        <v>141</v>
      </c>
      <c r="I39" s="2">
        <v>1.8</v>
      </c>
      <c r="J39" s="9">
        <v>3.99</v>
      </c>
      <c r="K39" s="4" t="s">
        <v>244</v>
      </c>
      <c r="L39" s="14" t="s">
        <v>245</v>
      </c>
      <c r="M39" s="5">
        <f>8*12</f>
        <v>96</v>
      </c>
      <c r="N39" s="5">
        <f t="shared" ref="N39:N41" si="9">(M39*250)/1000</f>
        <v>24</v>
      </c>
      <c r="O39" s="5">
        <f t="shared" si="2"/>
        <v>43.2</v>
      </c>
      <c r="P39" s="5">
        <f t="shared" si="3"/>
        <v>106.2936</v>
      </c>
      <c r="Q39" s="5">
        <f t="shared" si="4"/>
        <v>149.4936</v>
      </c>
    </row>
    <row r="40">
      <c r="A40" s="2" t="s">
        <v>142</v>
      </c>
      <c r="B40" s="2">
        <v>0.213</v>
      </c>
      <c r="C40" s="2" t="s">
        <v>139</v>
      </c>
      <c r="D40" s="2">
        <v>2017.0</v>
      </c>
      <c r="E40" s="2" t="s">
        <v>14</v>
      </c>
      <c r="F40" s="2">
        <v>1.11</v>
      </c>
      <c r="G40" s="4" t="s">
        <v>246</v>
      </c>
      <c r="H40" s="2" t="s">
        <v>141</v>
      </c>
      <c r="I40" s="2">
        <v>1.8</v>
      </c>
      <c r="J40" s="9">
        <v>3.99</v>
      </c>
      <c r="K40" s="4" t="s">
        <v>247</v>
      </c>
      <c r="L40" s="14" t="s">
        <v>245</v>
      </c>
      <c r="M40" s="5">
        <f>8*3.5*24</f>
        <v>672</v>
      </c>
      <c r="N40" s="5">
        <f t="shared" si="9"/>
        <v>168</v>
      </c>
      <c r="O40" s="5">
        <f t="shared" si="2"/>
        <v>302.4</v>
      </c>
      <c r="P40" s="5">
        <f t="shared" si="3"/>
        <v>744.0552</v>
      </c>
      <c r="Q40" s="5">
        <f t="shared" si="4"/>
        <v>1046.4552</v>
      </c>
    </row>
    <row r="41">
      <c r="A41" s="2" t="s">
        <v>144</v>
      </c>
      <c r="B41" s="2">
        <v>0.0936</v>
      </c>
      <c r="C41" s="2" t="s">
        <v>139</v>
      </c>
      <c r="D41" s="2">
        <v>2018.0</v>
      </c>
      <c r="E41" s="2" t="s">
        <v>14</v>
      </c>
      <c r="F41" s="2">
        <v>1.58</v>
      </c>
      <c r="G41" s="4" t="s">
        <v>248</v>
      </c>
      <c r="H41" s="2" t="s">
        <v>146</v>
      </c>
      <c r="I41" s="2">
        <v>1.8</v>
      </c>
      <c r="J41" s="9">
        <v>4.81</v>
      </c>
      <c r="K41" s="4" t="s">
        <v>249</v>
      </c>
      <c r="L41" s="14" t="s">
        <v>202</v>
      </c>
      <c r="M41" s="2">
        <f>8*336</f>
        <v>2688</v>
      </c>
      <c r="N41" s="5">
        <f t="shared" si="9"/>
        <v>672</v>
      </c>
      <c r="O41" s="5">
        <f t="shared" si="2"/>
        <v>1209.6</v>
      </c>
      <c r="P41" s="5">
        <f t="shared" si="3"/>
        <v>5107.0656</v>
      </c>
      <c r="Q41" s="5">
        <f t="shared" si="4"/>
        <v>6316.6656</v>
      </c>
    </row>
  </sheetData>
  <hyperlinks>
    <hyperlink r:id="rId1" ref="C2"/>
    <hyperlink r:id="rId2" ref="G2"/>
    <hyperlink r:id="rId3" ref="K2"/>
    <hyperlink r:id="rId4" ref="C3"/>
    <hyperlink r:id="rId5" ref="G3"/>
    <hyperlink r:id="rId6" ref="K3"/>
    <hyperlink r:id="rId7" ref="C4"/>
    <hyperlink r:id="rId8" ref="G4"/>
    <hyperlink r:id="rId9" ref="K4"/>
    <hyperlink r:id="rId10" ref="C5"/>
    <hyperlink r:id="rId11" ref="G5"/>
    <hyperlink r:id="rId12" ref="K5"/>
    <hyperlink r:id="rId13" ref="C6"/>
    <hyperlink r:id="rId14" ref="G6"/>
    <hyperlink r:id="rId15" ref="K6"/>
    <hyperlink r:id="rId16" ref="C7"/>
    <hyperlink r:id="rId17" ref="G7"/>
    <hyperlink r:id="rId18" ref="K7"/>
    <hyperlink r:id="rId19" ref="C8"/>
    <hyperlink r:id="rId20" ref="G8"/>
    <hyperlink r:id="rId21" ref="K8"/>
    <hyperlink r:id="rId22" ref="C9"/>
    <hyperlink r:id="rId23" ref="G9"/>
    <hyperlink r:id="rId24" ref="K9"/>
    <hyperlink r:id="rId25" ref="C10"/>
    <hyperlink r:id="rId26" ref="G10"/>
    <hyperlink r:id="rId27" ref="K10"/>
    <hyperlink r:id="rId28" ref="C11"/>
    <hyperlink r:id="rId29" ref="G11"/>
    <hyperlink r:id="rId30" ref="K11"/>
    <hyperlink r:id="rId31" ref="C12"/>
    <hyperlink r:id="rId32" ref="G12"/>
    <hyperlink r:id="rId33" ref="K12"/>
    <hyperlink r:id="rId34" ref="C13"/>
    <hyperlink r:id="rId35" ref="G13"/>
    <hyperlink r:id="rId36" ref="K13"/>
    <hyperlink r:id="rId37" ref="C14"/>
    <hyperlink r:id="rId38" ref="G14"/>
    <hyperlink r:id="rId39" ref="K14"/>
    <hyperlink r:id="rId40" ref="C15"/>
    <hyperlink r:id="rId41" ref="G15"/>
    <hyperlink r:id="rId42" ref="K15"/>
    <hyperlink r:id="rId43" ref="C16"/>
    <hyperlink r:id="rId44" ref="G16"/>
    <hyperlink r:id="rId45" ref="K16"/>
    <hyperlink r:id="rId46" location="water-positive" ref="K17"/>
    <hyperlink r:id="rId47" ref="G18"/>
    <hyperlink r:id="rId48" location="water-positive" ref="K18"/>
    <hyperlink r:id="rId49" ref="G19"/>
    <hyperlink r:id="rId50" location="water-positive" ref="K19"/>
    <hyperlink r:id="rId51" ref="G20"/>
    <hyperlink r:id="rId52" ref="K20"/>
    <hyperlink r:id="rId53" ref="G21"/>
    <hyperlink r:id="rId54" ref="K21"/>
    <hyperlink r:id="rId55" ref="G22"/>
    <hyperlink r:id="rId56" ref="K22"/>
    <hyperlink r:id="rId57" ref="C23"/>
    <hyperlink r:id="rId58" ref="G23"/>
    <hyperlink r:id="rId59" ref="K23"/>
    <hyperlink r:id="rId60" ref="C24"/>
    <hyperlink r:id="rId61" ref="G24"/>
    <hyperlink r:id="rId62" ref="K24"/>
    <hyperlink r:id="rId63" ref="G25"/>
    <hyperlink r:id="rId64" ref="K25"/>
    <hyperlink r:id="rId65" ref="C26"/>
    <hyperlink r:id="rId66" ref="G26"/>
    <hyperlink r:id="rId67" ref="K26"/>
    <hyperlink r:id="rId68" ref="C27"/>
    <hyperlink r:id="rId69" ref="K27"/>
    <hyperlink r:id="rId70" ref="C28"/>
    <hyperlink r:id="rId71" ref="K28"/>
    <hyperlink r:id="rId72" ref="K29"/>
    <hyperlink r:id="rId73" ref="C30"/>
    <hyperlink r:id="rId74" ref="G30"/>
    <hyperlink r:id="rId75" ref="K30"/>
    <hyperlink r:id="rId76" ref="C31"/>
    <hyperlink r:id="rId77" ref="G31"/>
    <hyperlink r:id="rId78" ref="K31"/>
    <hyperlink r:id="rId79" ref="C32"/>
    <hyperlink r:id="rId80" ref="G32"/>
    <hyperlink r:id="rId81" ref="K32"/>
    <hyperlink r:id="rId82" ref="C33"/>
    <hyperlink r:id="rId83" ref="G33"/>
    <hyperlink r:id="rId84" ref="K33"/>
    <hyperlink r:id="rId85" ref="C34"/>
    <hyperlink r:id="rId86" ref="G34"/>
    <hyperlink r:id="rId87" ref="K34"/>
    <hyperlink r:id="rId88" ref="K35"/>
    <hyperlink r:id="rId89" ref="K36"/>
    <hyperlink r:id="rId90" ref="K37"/>
    <hyperlink r:id="rId91" ref="K38"/>
    <hyperlink r:id="rId92" ref="G39"/>
    <hyperlink r:id="rId93" ref="K39"/>
    <hyperlink r:id="rId94" ref="G40"/>
    <hyperlink r:id="rId95" ref="K40"/>
    <hyperlink r:id="rId96" ref="G41"/>
    <hyperlink r:id="rId97" ref="K41"/>
  </hyperlinks>
  <drawing r:id="rId9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250</v>
      </c>
      <c r="B1" s="1" t="s">
        <v>251</v>
      </c>
      <c r="C1" s="1" t="s">
        <v>252</v>
      </c>
      <c r="D1" s="1"/>
      <c r="E1" s="1"/>
      <c r="F1" s="1"/>
      <c r="G1" s="1" t="s">
        <v>253</v>
      </c>
      <c r="H1" s="1" t="s">
        <v>251</v>
      </c>
      <c r="I1" s="1" t="s">
        <v>147</v>
      </c>
      <c r="J1" s="1" t="s">
        <v>254</v>
      </c>
      <c r="K1" s="1"/>
      <c r="L1" s="1"/>
      <c r="M1" s="1"/>
      <c r="N1" s="1"/>
      <c r="O1" s="1"/>
      <c r="P1" s="1" t="s">
        <v>255</v>
      </c>
    </row>
    <row r="2">
      <c r="A2" s="2" t="s">
        <v>256</v>
      </c>
      <c r="B2" s="2">
        <v>2.385</v>
      </c>
      <c r="C2" s="5">
        <f>AVERAGE(B2:B7)</f>
        <v>7.026833333</v>
      </c>
      <c r="G2" s="2" t="s">
        <v>257</v>
      </c>
      <c r="H2" s="2">
        <v>3.1</v>
      </c>
      <c r="I2" s="2" t="s">
        <v>258</v>
      </c>
      <c r="J2" s="5">
        <f>AVERAGE(H2:H12)</f>
        <v>3.99</v>
      </c>
    </row>
    <row r="3">
      <c r="A3" s="2" t="s">
        <v>259</v>
      </c>
      <c r="B3" s="2">
        <v>3.526</v>
      </c>
      <c r="G3" s="2" t="s">
        <v>260</v>
      </c>
      <c r="H3" s="2">
        <v>2.04</v>
      </c>
      <c r="I3" s="2" t="s">
        <v>258</v>
      </c>
    </row>
    <row r="4">
      <c r="A4" s="2" t="s">
        <v>261</v>
      </c>
      <c r="B4" s="2">
        <v>9.5</v>
      </c>
      <c r="G4" s="2" t="s">
        <v>262</v>
      </c>
      <c r="H4" s="2">
        <v>2.34</v>
      </c>
      <c r="I4" s="2" t="s">
        <v>258</v>
      </c>
    </row>
    <row r="5">
      <c r="A5" s="2" t="s">
        <v>263</v>
      </c>
      <c r="B5" s="2">
        <v>3.44</v>
      </c>
      <c r="G5" s="2" t="s">
        <v>264</v>
      </c>
      <c r="H5" s="2">
        <v>2.23</v>
      </c>
      <c r="I5" s="2" t="s">
        <v>258</v>
      </c>
    </row>
    <row r="6">
      <c r="A6" s="2" t="s">
        <v>265</v>
      </c>
      <c r="B6" s="2">
        <v>4.73</v>
      </c>
      <c r="G6" s="2" t="s">
        <v>266</v>
      </c>
      <c r="H6" s="2">
        <v>1.29</v>
      </c>
      <c r="I6" s="2" t="s">
        <v>258</v>
      </c>
    </row>
    <row r="7">
      <c r="A7" s="2" t="s">
        <v>267</v>
      </c>
      <c r="B7" s="2">
        <v>18.58</v>
      </c>
      <c r="G7" s="2" t="s">
        <v>268</v>
      </c>
      <c r="H7" s="2">
        <v>9.5</v>
      </c>
      <c r="I7" s="2" t="s">
        <v>258</v>
      </c>
    </row>
    <row r="8">
      <c r="G8" s="2" t="s">
        <v>269</v>
      </c>
      <c r="H8" s="2">
        <v>4.96</v>
      </c>
      <c r="I8" s="2" t="s">
        <v>258</v>
      </c>
    </row>
    <row r="9">
      <c r="G9" s="2" t="s">
        <v>270</v>
      </c>
      <c r="H9" s="2">
        <v>3.44</v>
      </c>
      <c r="I9" s="2" t="s">
        <v>258</v>
      </c>
    </row>
    <row r="10">
      <c r="G10" s="2" t="s">
        <v>271</v>
      </c>
      <c r="H10" s="2">
        <v>2.18</v>
      </c>
      <c r="I10" s="2" t="s">
        <v>240</v>
      </c>
    </row>
    <row r="11">
      <c r="G11" s="2" t="s">
        <v>272</v>
      </c>
      <c r="H11" s="2">
        <v>2.31</v>
      </c>
      <c r="I11" s="2" t="s">
        <v>258</v>
      </c>
    </row>
    <row r="12">
      <c r="G12" s="2" t="s">
        <v>273</v>
      </c>
      <c r="H12" s="2">
        <v>10.5</v>
      </c>
      <c r="I12" s="2" t="s">
        <v>258</v>
      </c>
    </row>
  </sheetData>
  <drawing r:id="rId1"/>
</worksheet>
</file>